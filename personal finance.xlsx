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7815" windowHeight="5925" tabRatio="604" activeTab="2"/>
  </bookViews>
  <sheets>
    <sheet name="Sheet1" sheetId="1" r:id="rId1"/>
    <sheet name="Sheet8" sheetId="8" r:id="rId2"/>
    <sheet name="Sheet2" sheetId="9" r:id="rId3"/>
    <sheet name="Sheet7" sheetId="7" r:id="rId4"/>
  </sheets>
  <definedNames>
    <definedName name="_xlcn.WorksheetConnection_personalfinance2.xlsxTable11" hidden="1">Table1[]</definedName>
    <definedName name="Slicer_Category">#N/A</definedName>
    <definedName name="Slicer_Discription">#N/A</definedName>
    <definedName name="Slicer_Month">#N/A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1"/>
        </x15:connection>
      </ext>
    </extLst>
  </connection>
</connections>
</file>

<file path=xl/sharedStrings.xml><?xml version="1.0" encoding="utf-8"?>
<sst xmlns="http://schemas.openxmlformats.org/spreadsheetml/2006/main" count="420" uniqueCount="50">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</sst>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7">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axId val="333239592"/>
        <c:axId val="333241552"/>
      </c:areaChart>
      <c:catAx>
        <c:axId val="333239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1552"/>
        <c:crosses val="autoZero"/>
        <c:auto val="1"/>
        <c:lblAlgn val="ctr"/>
        <c:lblOffset val="100"/>
        <c:noMultiLvlLbl val="0"/>
      </c:catAx>
      <c:valAx>
        <c:axId val="33324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3959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mooth val="0"/>
        </c:ser>
        <c:dLbls>
          <c:showLegendKey val="0"/>
          <c:showVal val="0"/>
          <c:showCatName val="0"/>
          <c:showSerName val="0"/>
          <c:showPercent val="0"/>
          <c:showBubbleSize val="0"/>
        </c:dLbls>
        <c:smooth val="0"/>
        <c:axId val="333239984"/>
        <c:axId val="333240376"/>
      </c:lineChart>
      <c:catAx>
        <c:axId val="33323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40376"/>
        <c:crosses val="autoZero"/>
        <c:auto val="1"/>
        <c:lblAlgn val="ctr"/>
        <c:lblOffset val="100"/>
        <c:noMultiLvlLbl val="0"/>
      </c:catAx>
      <c:valAx>
        <c:axId val="33324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39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finance.xlsx]Sheet8!PivotTable8</c:name>
    <c:fmtId val="1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axId val="333236456"/>
        <c:axId val="333236848"/>
      </c:areaChart>
      <c:catAx>
        <c:axId val="333236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36848"/>
        <c:crosses val="autoZero"/>
        <c:auto val="1"/>
        <c:lblAlgn val="ctr"/>
        <c:lblOffset val="100"/>
        <c:noMultiLvlLbl val="0"/>
      </c:catAx>
      <c:valAx>
        <c:axId val="33323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3645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finance.xlsx]Sheet8!PivotTable6</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4.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image" Target="../media/image2.jpe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295275</xdr:colOff>
      <xdr:row>48</xdr:row>
      <xdr:rowOff>9525</xdr:rowOff>
    </xdr:to>
    <mc:AlternateContent xmlns:mc="http://schemas.openxmlformats.org/markup-compatibility/2006" xmlns:a14="http://schemas.microsoft.com/office/drawing/2010/main">
      <mc:Choice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466725</xdr:colOff>
      <xdr:row>43</xdr:row>
      <xdr:rowOff>85725</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1057275</xdr:colOff>
      <xdr:row>48</xdr:row>
      <xdr:rowOff>19050</xdr:rowOff>
    </xdr:to>
    <mc:AlternateContent xmlns:mc="http://schemas.openxmlformats.org/markup-compatibility/2006" xmlns:a14="http://schemas.microsoft.com/office/drawing/2010/main">
      <mc:Choice Requires="a14">
        <xdr:graphicFrame macro="">
          <xdr:nvGraphicFramePr>
            <xdr:cNvPr id="8"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235786</xdr:colOff>
      <xdr:row>0</xdr:row>
      <xdr:rowOff>14204</xdr:rowOff>
    </xdr:from>
    <xdr:to>
      <xdr:col>20</xdr:col>
      <xdr:colOff>226261</xdr:colOff>
      <xdr:row>8</xdr:row>
      <xdr:rowOff>4679</xdr:rowOff>
    </xdr:to>
    <xdr:sp macro="" textlink="">
      <xdr:nvSpPr>
        <xdr:cNvPr id="2" name="Rounded Rectangle 1"/>
        <xdr:cNvSpPr/>
      </xdr:nvSpPr>
      <xdr:spPr>
        <a:xfrm>
          <a:off x="235786" y="14204"/>
          <a:ext cx="13693107" cy="146100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523873</xdr:colOff>
      <xdr:row>0</xdr:row>
      <xdr:rowOff>152398</xdr:rowOff>
    </xdr:from>
    <xdr:ext cx="5105401" cy="295722"/>
    <xdr:sp macro="" textlink="">
      <xdr:nvSpPr>
        <xdr:cNvPr id="4" name="TextBox 3"/>
        <xdr:cNvSpPr txBox="1"/>
      </xdr:nvSpPr>
      <xdr:spPr>
        <a:xfrm>
          <a:off x="3949531" y="152398"/>
          <a:ext cx="5105401"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685799</xdr:colOff>
      <xdr:row>3</xdr:row>
      <xdr:rowOff>66676</xdr:rowOff>
    </xdr:from>
    <xdr:ext cx="3362326" cy="252185"/>
    <xdr:sp macro="" textlink="">
      <xdr:nvSpPr>
        <xdr:cNvPr id="6" name="TextBox 5"/>
        <xdr:cNvSpPr txBox="1"/>
      </xdr:nvSpPr>
      <xdr:spPr>
        <a:xfrm>
          <a:off x="4800599" y="609601"/>
          <a:ext cx="3362326"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0000"/>
              </a:solidFill>
            </a:rPr>
            <a:t>personal Budget Monthly Dashboard</a:t>
          </a:r>
        </a:p>
      </xdr:txBody>
    </xdr:sp>
    <xdr:clientData/>
  </xdr:oneCellAnchor>
  <xdr:twoCellAnchor>
    <xdr:from>
      <xdr:col>0</xdr:col>
      <xdr:colOff>9525</xdr:colOff>
      <xdr:row>8</xdr:row>
      <xdr:rowOff>57150</xdr:rowOff>
    </xdr:from>
    <xdr:to>
      <xdr:col>5</xdr:col>
      <xdr:colOff>180975</xdr:colOff>
      <xdr:row>15</xdr:row>
      <xdr:rowOff>19050</xdr:rowOff>
    </xdr:to>
    <xdr:sp macro="" textlink="">
      <xdr:nvSpPr>
        <xdr:cNvPr id="7" name="Rounded Rectangle 6"/>
        <xdr:cNvSpPr/>
      </xdr:nvSpPr>
      <xdr:spPr>
        <a:xfrm>
          <a:off x="9525" y="1504950"/>
          <a:ext cx="3600450"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1</xdr:colOff>
      <xdr:row>8</xdr:row>
      <xdr:rowOff>76200</xdr:rowOff>
    </xdr:from>
    <xdr:to>
      <xdr:col>1</xdr:col>
      <xdr:colOff>419101</xdr:colOff>
      <xdr:row>15</xdr:row>
      <xdr:rowOff>28575</xdr:rowOff>
    </xdr:to>
    <xdr:sp macro="" textlink="">
      <xdr:nvSpPr>
        <xdr:cNvPr id="9" name="Rounded Rectangle 8"/>
        <xdr:cNvSpPr/>
      </xdr:nvSpPr>
      <xdr:spPr>
        <a:xfrm>
          <a:off x="1" y="1524000"/>
          <a:ext cx="1104900"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95251</xdr:colOff>
      <xdr:row>9</xdr:row>
      <xdr:rowOff>66675</xdr:rowOff>
    </xdr:from>
    <xdr:ext cx="1914524" cy="324769"/>
    <xdr:sp macro="" textlink="">
      <xdr:nvSpPr>
        <xdr:cNvPr id="10" name="TextBox 9"/>
        <xdr:cNvSpPr txBox="1"/>
      </xdr:nvSpPr>
      <xdr:spPr>
        <a:xfrm>
          <a:off x="1466851" y="1695450"/>
          <a:ext cx="1914524"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Total</a:t>
          </a:r>
          <a:r>
            <a:rPr lang="en-IN" sz="16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Expenses</a:t>
          </a:r>
          <a:endParaRPr lang="en-IN"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2</xdr:col>
      <xdr:colOff>600075</xdr:colOff>
      <xdr:row>11</xdr:row>
      <xdr:rowOff>161925</xdr:rowOff>
    </xdr:from>
    <xdr:ext cx="1015663" cy="353815"/>
    <xdr:sp macro="" textlink="Sheet7!H11">
      <xdr:nvSpPr>
        <xdr:cNvPr id="11" name="TextBox 10"/>
        <xdr:cNvSpPr txBox="1"/>
      </xdr:nvSpPr>
      <xdr:spPr>
        <a:xfrm>
          <a:off x="1970338" y="2183899"/>
          <a:ext cx="1015663"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800" b="1" i="0" u="none" strike="noStrike">
              <a:solidFill>
                <a:srgbClr val="000000"/>
              </a:solidFill>
              <a:latin typeface="Aptos Narrow"/>
            </a:rPr>
            <a:pPr/>
            <a:t>259100</a:t>
          </a:fld>
          <a:endParaRPr lang="en-IN" sz="1800" b="1"/>
        </a:p>
      </xdr:txBody>
    </xdr:sp>
    <xdr:clientData/>
  </xdr:oneCellAnchor>
  <xdr:twoCellAnchor>
    <xdr:from>
      <xdr:col>5</xdr:col>
      <xdr:colOff>247650</xdr:colOff>
      <xdr:row>8</xdr:row>
      <xdr:rowOff>28575</xdr:rowOff>
    </xdr:from>
    <xdr:to>
      <xdr:col>10</xdr:col>
      <xdr:colOff>123825</xdr:colOff>
      <xdr:row>15</xdr:row>
      <xdr:rowOff>66676</xdr:rowOff>
    </xdr:to>
    <xdr:sp macro="" textlink="">
      <xdr:nvSpPr>
        <xdr:cNvPr id="12" name="Rounded Rectangle 11"/>
        <xdr:cNvSpPr/>
      </xdr:nvSpPr>
      <xdr:spPr>
        <a:xfrm>
          <a:off x="3676650" y="1476375"/>
          <a:ext cx="3305175" cy="13049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a:p>
          <a:pPr algn="l"/>
          <a:endParaRPr lang="en-IN" sz="11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xdr:from>
      <xdr:col>5</xdr:col>
      <xdr:colOff>266700</xdr:colOff>
      <xdr:row>8</xdr:row>
      <xdr:rowOff>38100</xdr:rowOff>
    </xdr:from>
    <xdr:to>
      <xdr:col>7</xdr:col>
      <xdr:colOff>95250</xdr:colOff>
      <xdr:row>15</xdr:row>
      <xdr:rowOff>47625</xdr:rowOff>
    </xdr:to>
    <xdr:sp macro="" textlink="">
      <xdr:nvSpPr>
        <xdr:cNvPr id="13" name="Rounded Rectangle 12"/>
        <xdr:cNvSpPr/>
      </xdr:nvSpPr>
      <xdr:spPr>
        <a:xfrm>
          <a:off x="3695700" y="1485900"/>
          <a:ext cx="120015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257175</xdr:colOff>
      <xdr:row>9</xdr:row>
      <xdr:rowOff>85726</xdr:rowOff>
    </xdr:from>
    <xdr:ext cx="2251085" cy="564436"/>
    <xdr:sp macro="" textlink="">
      <xdr:nvSpPr>
        <xdr:cNvPr id="14" name="TextBox 13"/>
        <xdr:cNvSpPr txBox="1"/>
      </xdr:nvSpPr>
      <xdr:spPr>
        <a:xfrm>
          <a:off x="5057775" y="1714501"/>
          <a:ext cx="2251085" cy="5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Total</a:t>
          </a:r>
          <a:r>
            <a:rPr lang="en-IN" sz="11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IN" sz="1050" b="1" i="1" u="none"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Expenses</a:t>
          </a:r>
          <a:r>
            <a:rPr lang="en-IN" sz="11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by </a:t>
          </a:r>
        </a:p>
        <a:p>
          <a:r>
            <a:rPr lang="en-IN" sz="11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category(food)</a:t>
          </a:r>
          <a:endPar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7</xdr:col>
      <xdr:colOff>533400</xdr:colOff>
      <xdr:row>12</xdr:row>
      <xdr:rowOff>76200</xdr:rowOff>
    </xdr:from>
    <xdr:ext cx="877163" cy="353815"/>
    <xdr:sp macro="" textlink="Sheet7!H16">
      <xdr:nvSpPr>
        <xdr:cNvPr id="16" name="TextBox 15"/>
        <xdr:cNvSpPr txBox="1"/>
      </xdr:nvSpPr>
      <xdr:spPr>
        <a:xfrm>
          <a:off x="5329321" y="2281989"/>
          <a:ext cx="877163"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800" b="1" i="0" u="none" strike="noStrike">
              <a:solidFill>
                <a:srgbClr val="000000"/>
              </a:solidFill>
              <a:latin typeface="Aptos Narrow"/>
            </a:rPr>
            <a:pPr/>
            <a:t>55800</a:t>
          </a:fld>
          <a:endParaRPr lang="en-IN" sz="1800" b="1"/>
        </a:p>
      </xdr:txBody>
    </xdr:sp>
    <xdr:clientData/>
  </xdr:oneCellAnchor>
  <xdr:twoCellAnchor>
    <xdr:from>
      <xdr:col>10</xdr:col>
      <xdr:colOff>352425</xdr:colOff>
      <xdr:row>8</xdr:row>
      <xdr:rowOff>66675</xdr:rowOff>
    </xdr:from>
    <xdr:to>
      <xdr:col>15</xdr:col>
      <xdr:colOff>104775</xdr:colOff>
      <xdr:row>15</xdr:row>
      <xdr:rowOff>57150</xdr:rowOff>
    </xdr:to>
    <xdr:sp macro="" textlink="Sheet7!H20">
      <xdr:nvSpPr>
        <xdr:cNvPr id="19" name="Rounded Rectangle 18"/>
        <xdr:cNvSpPr/>
      </xdr:nvSpPr>
      <xdr:spPr>
        <a:xfrm>
          <a:off x="7210425" y="1514475"/>
          <a:ext cx="3181350" cy="1257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pPr algn="l"/>
            <a:t>4798.148148</a:t>
          </a:fld>
          <a:endParaRPr lang="en-IN" sz="1100"/>
        </a:p>
      </xdr:txBody>
    </xdr:sp>
    <xdr:clientData/>
  </xdr:twoCellAnchor>
  <xdr:twoCellAnchor>
    <xdr:from>
      <xdr:col>10</xdr:col>
      <xdr:colOff>371477</xdr:colOff>
      <xdr:row>8</xdr:row>
      <xdr:rowOff>66675</xdr:rowOff>
    </xdr:from>
    <xdr:to>
      <xdr:col>12</xdr:col>
      <xdr:colOff>180975</xdr:colOff>
      <xdr:row>15</xdr:row>
      <xdr:rowOff>38100</xdr:rowOff>
    </xdr:to>
    <xdr:sp macro="" textlink="">
      <xdr:nvSpPr>
        <xdr:cNvPr id="20" name="Rounded Rectangle 19"/>
        <xdr:cNvSpPr/>
      </xdr:nvSpPr>
      <xdr:spPr>
        <a:xfrm>
          <a:off x="7229477" y="1514475"/>
          <a:ext cx="1181098"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542926</xdr:colOff>
      <xdr:row>10</xdr:row>
      <xdr:rowOff>19050</xdr:rowOff>
    </xdr:from>
    <xdr:ext cx="1043494" cy="295722"/>
    <xdr:sp macro="" textlink="">
      <xdr:nvSpPr>
        <xdr:cNvPr id="21" name="TextBox 20"/>
        <xdr:cNvSpPr txBox="1"/>
      </xdr:nvSpPr>
      <xdr:spPr>
        <a:xfrm>
          <a:off x="8772526" y="1828800"/>
          <a:ext cx="1043494"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Average</a:t>
          </a:r>
        </a:p>
      </xdr:txBody>
    </xdr:sp>
    <xdr:clientData/>
  </xdr:oneCellAnchor>
  <xdr:oneCellAnchor>
    <xdr:from>
      <xdr:col>12</xdr:col>
      <xdr:colOff>297113</xdr:colOff>
      <xdr:row>11</xdr:row>
      <xdr:rowOff>128837</xdr:rowOff>
    </xdr:from>
    <xdr:ext cx="1708160" cy="353815"/>
    <xdr:sp macro="" textlink="Sheet7!H20">
      <xdr:nvSpPr>
        <xdr:cNvPr id="22" name="TextBox 21"/>
        <xdr:cNvSpPr txBox="1"/>
      </xdr:nvSpPr>
      <xdr:spPr>
        <a:xfrm>
          <a:off x="8518692" y="2150811"/>
          <a:ext cx="1708160"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B4F7C8-88EC-4779-BF7C-81416623D0A3}" type="TxLink">
            <a:rPr lang="en-US" sz="1800" b="1" i="0" u="none" strike="noStrike">
              <a:solidFill>
                <a:srgbClr val="000000"/>
              </a:solidFill>
              <a:latin typeface="Aptos Narrow"/>
            </a:rPr>
            <a:pPr/>
            <a:t>4798.148148</a:t>
          </a:fld>
          <a:endParaRPr lang="en-IN" sz="1800" b="1"/>
        </a:p>
      </xdr:txBody>
    </xdr:sp>
    <xdr:clientData/>
  </xdr:oneCellAnchor>
  <xdr:twoCellAnchor>
    <xdr:from>
      <xdr:col>15</xdr:col>
      <xdr:colOff>171449</xdr:colOff>
      <xdr:row>8</xdr:row>
      <xdr:rowOff>57150</xdr:rowOff>
    </xdr:from>
    <xdr:to>
      <xdr:col>19</xdr:col>
      <xdr:colOff>600074</xdr:colOff>
      <xdr:row>15</xdr:row>
      <xdr:rowOff>0</xdr:rowOff>
    </xdr:to>
    <xdr:sp macro="" textlink="">
      <xdr:nvSpPr>
        <xdr:cNvPr id="23" name="Rounded Rectangle 22"/>
        <xdr:cNvSpPr/>
      </xdr:nvSpPr>
      <xdr:spPr>
        <a:xfrm>
          <a:off x="10458449" y="1504950"/>
          <a:ext cx="3171825" cy="120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15</xdr:col>
      <xdr:colOff>180976</xdr:colOff>
      <xdr:row>8</xdr:row>
      <xdr:rowOff>66676</xdr:rowOff>
    </xdr:from>
    <xdr:to>
      <xdr:col>16</xdr:col>
      <xdr:colOff>600076</xdr:colOff>
      <xdr:row>14</xdr:row>
      <xdr:rowOff>161926</xdr:rowOff>
    </xdr:to>
    <xdr:sp macro="" textlink="">
      <xdr:nvSpPr>
        <xdr:cNvPr id="24" name="Rounded Rectangle 23"/>
        <xdr:cNvSpPr/>
      </xdr:nvSpPr>
      <xdr:spPr>
        <a:xfrm>
          <a:off x="10467976" y="1514476"/>
          <a:ext cx="1104900"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19050</xdr:colOff>
      <xdr:row>9</xdr:row>
      <xdr:rowOff>47625</xdr:rowOff>
    </xdr:from>
    <xdr:ext cx="1887676" cy="441018"/>
    <xdr:sp macro="" textlink="">
      <xdr:nvSpPr>
        <xdr:cNvPr id="25" name="TextBox 24"/>
        <xdr:cNvSpPr txBox="1"/>
      </xdr:nvSpPr>
      <xdr:spPr>
        <a:xfrm>
          <a:off x="11677650" y="1676400"/>
          <a:ext cx="1887676" cy="44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Total</a:t>
          </a:r>
          <a:r>
            <a:rPr lang="en-IN" sz="12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Expenses by</a:t>
          </a:r>
        </a:p>
        <a:p>
          <a:r>
            <a:rPr lang="en-IN" sz="12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month</a:t>
          </a:r>
          <a:endParaRPr lang="en-IN" sz="12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oneCellAnchor>
    <xdr:from>
      <xdr:col>17</xdr:col>
      <xdr:colOff>609600</xdr:colOff>
      <xdr:row>12</xdr:row>
      <xdr:rowOff>28575</xdr:rowOff>
    </xdr:from>
    <xdr:ext cx="877163" cy="353815"/>
    <xdr:sp macro="" textlink="Sheet7!H24">
      <xdr:nvSpPr>
        <xdr:cNvPr id="26" name="TextBox 25"/>
        <xdr:cNvSpPr txBox="1"/>
      </xdr:nvSpPr>
      <xdr:spPr>
        <a:xfrm>
          <a:off x="12256837" y="2234364"/>
          <a:ext cx="877163"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800" b="1" i="0" u="none" strike="noStrike">
              <a:solidFill>
                <a:srgbClr val="000000"/>
              </a:solidFill>
              <a:latin typeface="Aptos Narrow"/>
            </a:rPr>
            <a:pPr/>
            <a:t>23900</a:t>
          </a:fld>
          <a:endParaRPr lang="en-IN" sz="1800" b="1"/>
        </a:p>
      </xdr:txBody>
    </xdr:sp>
    <xdr:clientData/>
  </xdr:oneCellAnchor>
  <xdr:twoCellAnchor editAs="oneCell">
    <xdr:from>
      <xdr:col>0</xdr:col>
      <xdr:colOff>0</xdr:colOff>
      <xdr:row>15</xdr:row>
      <xdr:rowOff>85725</xdr:rowOff>
    </xdr:from>
    <xdr:to>
      <xdr:col>2</xdr:col>
      <xdr:colOff>457200</xdr:colOff>
      <xdr:row>29</xdr:row>
      <xdr:rowOff>19050</xdr:rowOff>
    </xdr:to>
    <mc:AlternateContent xmlns:mc="http://schemas.openxmlformats.org/markup-compatibility/2006">
      <mc:Choice xmlns:a14="http://schemas.microsoft.com/office/drawing/2010/main" Requires="a14">
        <xdr:graphicFrame macro="">
          <xdr:nvGraphicFramePr>
            <xdr:cNvPr id="27"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0" y="28003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457200</xdr:colOff>
      <xdr:row>41</xdr:row>
      <xdr:rowOff>114300</xdr:rowOff>
    </xdr:to>
    <mc:AlternateContent xmlns:mc="http://schemas.openxmlformats.org/markup-compatibility/2006" xmlns:a14="http://schemas.microsoft.com/office/drawing/2010/main">
      <mc:Choice Requires="a14">
        <xdr:graphicFrame macro="">
          <xdr:nvGraphicFramePr>
            <xdr:cNvPr id="2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7912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0</xdr:rowOff>
    </xdr:from>
    <xdr:to>
      <xdr:col>2</xdr:col>
      <xdr:colOff>457200</xdr:colOff>
      <xdr:row>56</xdr:row>
      <xdr:rowOff>171450</xdr:rowOff>
    </xdr:to>
    <mc:AlternateContent xmlns:mc="http://schemas.openxmlformats.org/markup-compatibility/2006" xmlns:a14="http://schemas.microsoft.com/office/drawing/2010/main">
      <mc:Choice Requires="a14">
        <xdr:graphicFrame macro="">
          <xdr:nvGraphicFramePr>
            <xdr:cNvPr id="2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778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568993</xdr:colOff>
      <xdr:row>15</xdr:row>
      <xdr:rowOff>167106</xdr:rowOff>
    </xdr:from>
    <xdr:to>
      <xdr:col>20</xdr:col>
      <xdr:colOff>26068</xdr:colOff>
      <xdr:row>54</xdr:row>
      <xdr:rowOff>76200</xdr:rowOff>
    </xdr:to>
    <xdr:sp macro="" textlink="">
      <xdr:nvSpPr>
        <xdr:cNvPr id="30" name="Rectangle 29"/>
        <xdr:cNvSpPr/>
      </xdr:nvSpPr>
      <xdr:spPr>
        <a:xfrm>
          <a:off x="1939256" y="2924343"/>
          <a:ext cx="11789444" cy="707791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485775</xdr:colOff>
      <xdr:row>16</xdr:row>
      <xdr:rowOff>19049</xdr:rowOff>
    </xdr:from>
    <xdr:to>
      <xdr:col>9</xdr:col>
      <xdr:colOff>442913</xdr:colOff>
      <xdr:row>32</xdr:row>
      <xdr:rowOff>119062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17</xdr:row>
      <xdr:rowOff>85725</xdr:rowOff>
    </xdr:from>
    <xdr:to>
      <xdr:col>16</xdr:col>
      <xdr:colOff>504824</xdr:colOff>
      <xdr:row>34</xdr:row>
      <xdr:rowOff>57150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34</xdr:row>
      <xdr:rowOff>161925</xdr:rowOff>
    </xdr:from>
    <xdr:to>
      <xdr:col>9</xdr:col>
      <xdr:colOff>447675</xdr:colOff>
      <xdr:row>50</xdr:row>
      <xdr:rowOff>9525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100263</xdr:colOff>
      <xdr:row>8</xdr:row>
      <xdr:rowOff>150395</xdr:rowOff>
    </xdr:from>
    <xdr:to>
      <xdr:col>1</xdr:col>
      <xdr:colOff>300789</xdr:colOff>
      <xdr:row>15</xdr:row>
      <xdr:rowOff>16711</xdr:rowOff>
    </xdr:to>
    <xdr:pic>
      <xdr:nvPicPr>
        <xdr:cNvPr id="15" name="Picture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0263" y="1620921"/>
          <a:ext cx="885658" cy="1153027"/>
        </a:xfrm>
        <a:prstGeom prst="rect">
          <a:avLst/>
        </a:prstGeom>
      </xdr:spPr>
    </xdr:pic>
    <xdr:clientData/>
  </xdr:twoCellAnchor>
  <xdr:twoCellAnchor editAs="oneCell">
    <xdr:from>
      <xdr:col>5</xdr:col>
      <xdr:colOff>339512</xdr:colOff>
      <xdr:row>8</xdr:row>
      <xdr:rowOff>167105</xdr:rowOff>
    </xdr:from>
    <xdr:to>
      <xdr:col>7</xdr:col>
      <xdr:colOff>33421</xdr:colOff>
      <xdr:row>14</xdr:row>
      <xdr:rowOff>100263</xdr:rowOff>
    </xdr:to>
    <xdr:pic>
      <xdr:nvPicPr>
        <xdr:cNvPr id="17" name="Picture 1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65170" y="1637631"/>
          <a:ext cx="1064172" cy="1036053"/>
        </a:xfrm>
        <a:prstGeom prst="rect">
          <a:avLst/>
        </a:prstGeom>
      </xdr:spPr>
    </xdr:pic>
    <xdr:clientData/>
  </xdr:twoCellAnchor>
  <xdr:twoCellAnchor editAs="oneCell">
    <xdr:from>
      <xdr:col>10</xdr:col>
      <xdr:colOff>568158</xdr:colOff>
      <xdr:row>8</xdr:row>
      <xdr:rowOff>116975</xdr:rowOff>
    </xdr:from>
    <xdr:to>
      <xdr:col>11</xdr:col>
      <xdr:colOff>618291</xdr:colOff>
      <xdr:row>15</xdr:row>
      <xdr:rowOff>23634</xdr:rowOff>
    </xdr:to>
    <xdr:pic>
      <xdr:nvPicPr>
        <xdr:cNvPr id="18" name="Picture 1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19474" y="1587501"/>
          <a:ext cx="735264" cy="1193370"/>
        </a:xfrm>
        <a:prstGeom prst="rect">
          <a:avLst/>
        </a:prstGeom>
      </xdr:spPr>
    </xdr:pic>
    <xdr:clientData/>
  </xdr:twoCellAnchor>
  <xdr:twoCellAnchor editAs="oneCell">
    <xdr:from>
      <xdr:col>15</xdr:col>
      <xdr:colOff>267368</xdr:colOff>
      <xdr:row>9</xdr:row>
      <xdr:rowOff>1</xdr:rowOff>
    </xdr:from>
    <xdr:to>
      <xdr:col>16</xdr:col>
      <xdr:colOff>568157</xdr:colOff>
      <xdr:row>14</xdr:row>
      <xdr:rowOff>50132</xdr:rowOff>
    </xdr:to>
    <xdr:pic>
      <xdr:nvPicPr>
        <xdr:cNvPr id="35" name="Picture 34"/>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544342" y="1654343"/>
          <a:ext cx="985920" cy="9692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2.437499652777" createdVersion="5" refreshedVersion="5" minRefreshableVersion="3" recordCount="6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H3:I18"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3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8"/>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8"/>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8" name="PivotTable8"/>
  </pivotTables>
  <data>
    <tabular pivotCacheId="1">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ategory" cache="Slicer_Category" caption="Category" rowHeight="241300"/>
  <slicer name="Discription"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 name="Category 1" cache="Slicer_Category" caption="Category" rowHeight="241300"/>
  <slicer name="Discription 1" cache="Slicer_Discription" caption="Discription" startItem="6" rowHeight="241300"/>
</slicers>
</file>

<file path=xl/tables/table1.xml><?xml version="1.0" encoding="utf-8"?>
<table xmlns="http://schemas.openxmlformats.org/spreadsheetml/2006/main" id="1" name="Table1" displayName="Table1" ref="A2:E62" totalsRowShown="0">
  <autoFilter ref="A2:E62"/>
  <tableColumns count="5">
    <tableColumn id="1" name="Column1" dataDxfId="0"/>
    <tableColumn id="2" name="Column2"/>
    <tableColumn id="3" name="Column3"/>
    <tableColumn id="4" name="Column4"/>
    <tableColumn id="5"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selection activeCell="H5" sqref="H5:H29"/>
    </sheetView>
  </sheetViews>
  <sheetFormatPr defaultRowHeight="14.25"/>
  <cols>
    <col min="1" max="1" width="10.375" bestFit="1" customWidth="1"/>
    <col min="2" max="2" width="10.125" customWidth="1"/>
    <col min="3" max="3" width="13.5" customWidth="1"/>
    <col min="4" max="4" width="17.625" customWidth="1"/>
    <col min="5" max="5" width="16.75" customWidth="1"/>
    <col min="8" max="8" width="32.375" customWidth="1"/>
  </cols>
  <sheetData>
    <row r="1" spans="1:8" ht="15.75">
      <c r="A1" s="1" t="s">
        <v>0</v>
      </c>
      <c r="B1" s="2" t="s">
        <v>1</v>
      </c>
      <c r="C1" s="2" t="s">
        <v>2</v>
      </c>
      <c r="D1" s="2" t="s">
        <v>3</v>
      </c>
      <c r="E1" s="2" t="s">
        <v>4</v>
      </c>
      <c r="F1" s="3"/>
    </row>
    <row r="2" spans="1:8">
      <c r="A2" s="4" t="s">
        <v>5</v>
      </c>
      <c r="B2" t="s">
        <v>6</v>
      </c>
      <c r="C2" t="s">
        <v>7</v>
      </c>
      <c r="D2" t="s">
        <v>8</v>
      </c>
      <c r="E2" t="s">
        <v>9</v>
      </c>
    </row>
    <row r="3" spans="1:8">
      <c r="A3" s="4">
        <v>45662</v>
      </c>
      <c r="B3" t="s">
        <v>10</v>
      </c>
      <c r="C3" t="s">
        <v>11</v>
      </c>
      <c r="D3" t="s">
        <v>12</v>
      </c>
      <c r="E3">
        <v>12000</v>
      </c>
    </row>
    <row r="4" spans="1:8">
      <c r="A4" s="4">
        <v>45665</v>
      </c>
      <c r="B4" t="s">
        <v>10</v>
      </c>
      <c r="C4" t="s">
        <v>13</v>
      </c>
      <c r="D4" t="s">
        <v>14</v>
      </c>
      <c r="E4">
        <v>4200</v>
      </c>
    </row>
    <row r="5" spans="1:8" ht="15">
      <c r="A5" s="4">
        <v>45669</v>
      </c>
      <c r="B5" t="s">
        <v>10</v>
      </c>
      <c r="C5" t="s">
        <v>15</v>
      </c>
      <c r="D5" t="s">
        <v>16</v>
      </c>
      <c r="E5">
        <v>2800</v>
      </c>
      <c r="H5" s="5" t="s">
        <v>17</v>
      </c>
    </row>
    <row r="6" spans="1:8">
      <c r="A6" s="4">
        <v>45675</v>
      </c>
      <c r="B6" t="s">
        <v>10</v>
      </c>
      <c r="C6" t="s">
        <v>18</v>
      </c>
      <c r="D6" t="s">
        <v>19</v>
      </c>
      <c r="E6">
        <v>2300</v>
      </c>
      <c r="H6" s="6">
        <f>SUM(E3:E62)</f>
        <v>295000</v>
      </c>
    </row>
    <row r="7" spans="1:8">
      <c r="A7" s="4">
        <v>45682</v>
      </c>
      <c r="B7" t="s">
        <v>10</v>
      </c>
      <c r="C7" t="s">
        <v>20</v>
      </c>
      <c r="D7" t="s">
        <v>21</v>
      </c>
      <c r="E7">
        <v>2600</v>
      </c>
    </row>
    <row r="8" spans="1:8">
      <c r="A8" s="4">
        <v>45693</v>
      </c>
      <c r="B8" t="s">
        <v>22</v>
      </c>
      <c r="C8" t="s">
        <v>11</v>
      </c>
      <c r="D8" t="s">
        <v>12</v>
      </c>
      <c r="E8">
        <v>12000</v>
      </c>
    </row>
    <row r="9" spans="1:8">
      <c r="A9" s="4">
        <v>45697</v>
      </c>
      <c r="B9" t="s">
        <v>22</v>
      </c>
      <c r="C9" t="s">
        <v>13</v>
      </c>
      <c r="D9" t="s">
        <v>14</v>
      </c>
      <c r="E9">
        <v>5100</v>
      </c>
    </row>
    <row r="10" spans="1:8" ht="15">
      <c r="A10" s="4">
        <v>45700</v>
      </c>
      <c r="B10" t="s">
        <v>22</v>
      </c>
      <c r="C10" t="s">
        <v>15</v>
      </c>
      <c r="D10" t="s">
        <v>16</v>
      </c>
      <c r="E10">
        <v>3200</v>
      </c>
      <c r="H10" s="2" t="s">
        <v>23</v>
      </c>
    </row>
    <row r="11" spans="1:8">
      <c r="A11" s="4">
        <v>45706</v>
      </c>
      <c r="B11" t="s">
        <v>22</v>
      </c>
      <c r="C11" t="s">
        <v>18</v>
      </c>
      <c r="D11" t="s">
        <v>19</v>
      </c>
      <c r="E11">
        <v>1900</v>
      </c>
      <c r="H11" s="6">
        <f>SUMIF(C:C,"food",E:E)</f>
        <v>55800</v>
      </c>
    </row>
    <row r="12" spans="1:8">
      <c r="A12" s="4">
        <v>45712</v>
      </c>
      <c r="B12" t="s">
        <v>22</v>
      </c>
      <c r="C12" t="s">
        <v>20</v>
      </c>
      <c r="D12" t="s">
        <v>24</v>
      </c>
      <c r="E12">
        <v>2400</v>
      </c>
    </row>
    <row r="13" spans="1:8">
      <c r="A13" s="4">
        <v>45721</v>
      </c>
      <c r="B13" t="s">
        <v>25</v>
      </c>
      <c r="C13" t="s">
        <v>11</v>
      </c>
      <c r="D13" t="s">
        <v>12</v>
      </c>
      <c r="E13">
        <v>12000</v>
      </c>
    </row>
    <row r="14" spans="1:8" ht="15">
      <c r="A14" s="4">
        <v>45724</v>
      </c>
      <c r="B14" t="s">
        <v>25</v>
      </c>
      <c r="C14" t="s">
        <v>13</v>
      </c>
      <c r="D14" t="s">
        <v>14</v>
      </c>
      <c r="E14">
        <v>3900</v>
      </c>
      <c r="H14" s="2" t="s">
        <v>26</v>
      </c>
    </row>
    <row r="15" spans="1:8">
      <c r="A15" s="4">
        <v>45730</v>
      </c>
      <c r="B15" t="s">
        <v>25</v>
      </c>
      <c r="C15" t="s">
        <v>15</v>
      </c>
      <c r="D15" t="s">
        <v>27</v>
      </c>
      <c r="E15">
        <v>2600</v>
      </c>
      <c r="H15" s="6">
        <f>AVERAGE(E3:E62)</f>
        <v>4916.666666666667</v>
      </c>
    </row>
    <row r="16" spans="1:8">
      <c r="A16" s="4">
        <v>45736</v>
      </c>
      <c r="B16" t="s">
        <v>25</v>
      </c>
      <c r="C16" t="s">
        <v>18</v>
      </c>
      <c r="D16" t="s">
        <v>28</v>
      </c>
      <c r="E16">
        <v>1500</v>
      </c>
    </row>
    <row r="17" spans="1:8">
      <c r="A17" s="4">
        <v>45742</v>
      </c>
      <c r="B17" t="s">
        <v>25</v>
      </c>
      <c r="C17" t="s">
        <v>20</v>
      </c>
      <c r="D17" t="s">
        <v>21</v>
      </c>
      <c r="E17">
        <v>2300</v>
      </c>
    </row>
    <row r="18" spans="1:8">
      <c r="A18" s="4">
        <v>45752</v>
      </c>
      <c r="B18" t="s">
        <v>29</v>
      </c>
      <c r="C18" t="s">
        <v>11</v>
      </c>
      <c r="D18" t="s">
        <v>12</v>
      </c>
      <c r="E18">
        <v>12000</v>
      </c>
      <c r="H18" s="7" t="s">
        <v>30</v>
      </c>
    </row>
    <row r="19" spans="1:8">
      <c r="A19" s="4">
        <v>45756</v>
      </c>
      <c r="B19" t="s">
        <v>29</v>
      </c>
      <c r="C19" t="s">
        <v>13</v>
      </c>
      <c r="D19" t="s">
        <v>14</v>
      </c>
      <c r="E19">
        <v>4500</v>
      </c>
      <c r="H19" s="6">
        <f>SUMIF(B:B,"January",E:E)</f>
        <v>23900</v>
      </c>
    </row>
    <row r="20" spans="1:8">
      <c r="A20" s="4">
        <v>45760</v>
      </c>
      <c r="B20" t="s">
        <v>29</v>
      </c>
      <c r="C20" t="s">
        <v>15</v>
      </c>
      <c r="D20" t="s">
        <v>31</v>
      </c>
      <c r="E20">
        <v>3000</v>
      </c>
    </row>
    <row r="21" spans="1:8">
      <c r="A21" s="4">
        <v>45766</v>
      </c>
      <c r="B21" t="s">
        <v>29</v>
      </c>
      <c r="C21" t="s">
        <v>18</v>
      </c>
      <c r="D21" t="s">
        <v>19</v>
      </c>
      <c r="E21">
        <v>2200</v>
      </c>
    </row>
    <row r="22" spans="1:8">
      <c r="A22" s="4">
        <v>45772</v>
      </c>
      <c r="B22" t="s">
        <v>29</v>
      </c>
      <c r="C22" t="s">
        <v>20</v>
      </c>
      <c r="D22" t="s">
        <v>21</v>
      </c>
      <c r="E22">
        <v>2500</v>
      </c>
      <c r="H22" s="7" t="s">
        <v>32</v>
      </c>
    </row>
    <row r="23" spans="1:8">
      <c r="A23" s="4">
        <v>45782</v>
      </c>
      <c r="B23" t="s">
        <v>33</v>
      </c>
      <c r="C23" t="s">
        <v>11</v>
      </c>
      <c r="D23" t="s">
        <v>12</v>
      </c>
      <c r="E23">
        <v>12000</v>
      </c>
      <c r="H23" s="6">
        <f>SUMIFS(E:E,B:B,"January",C:C,"Food")</f>
        <v>4200</v>
      </c>
    </row>
    <row r="24" spans="1:8">
      <c r="A24" s="4">
        <v>45785</v>
      </c>
      <c r="B24" t="s">
        <v>33</v>
      </c>
      <c r="C24" t="s">
        <v>13</v>
      </c>
      <c r="D24" t="s">
        <v>14</v>
      </c>
      <c r="E24">
        <v>4800</v>
      </c>
    </row>
    <row r="25" spans="1:8">
      <c r="A25" s="4">
        <v>45791</v>
      </c>
      <c r="B25" t="s">
        <v>33</v>
      </c>
      <c r="C25" t="s">
        <v>15</v>
      </c>
      <c r="D25" t="s">
        <v>31</v>
      </c>
      <c r="E25">
        <v>2900</v>
      </c>
    </row>
    <row r="26" spans="1:8">
      <c r="A26" s="4">
        <v>45797</v>
      </c>
      <c r="B26" t="s">
        <v>33</v>
      </c>
      <c r="C26" t="s">
        <v>18</v>
      </c>
      <c r="D26" t="s">
        <v>34</v>
      </c>
      <c r="E26">
        <v>2100</v>
      </c>
    </row>
    <row r="27" spans="1:8">
      <c r="A27" s="4">
        <v>45803</v>
      </c>
      <c r="B27" t="s">
        <v>33</v>
      </c>
      <c r="C27" t="s">
        <v>20</v>
      </c>
      <c r="D27" t="s">
        <v>21</v>
      </c>
      <c r="E27">
        <v>2600</v>
      </c>
    </row>
    <row r="28" spans="1:8">
      <c r="A28" s="4">
        <v>45813</v>
      </c>
      <c r="B28" t="s">
        <v>35</v>
      </c>
      <c r="C28" t="s">
        <v>11</v>
      </c>
      <c r="D28" t="s">
        <v>12</v>
      </c>
      <c r="E28">
        <v>12000</v>
      </c>
      <c r="H28" s="7" t="s">
        <v>36</v>
      </c>
    </row>
    <row r="29" spans="1:8">
      <c r="A29" s="4">
        <v>45817</v>
      </c>
      <c r="B29" t="s">
        <v>35</v>
      </c>
      <c r="C29" t="s">
        <v>13</v>
      </c>
      <c r="D29" t="s">
        <v>14</v>
      </c>
      <c r="E29">
        <v>5200</v>
      </c>
      <c r="H29" s="6">
        <f>AVERAGEIF(B:B,"January",E:E)</f>
        <v>4780</v>
      </c>
    </row>
    <row r="30" spans="1:8">
      <c r="A30" s="4">
        <v>45821</v>
      </c>
      <c r="B30" t="s">
        <v>35</v>
      </c>
      <c r="C30" t="s">
        <v>15</v>
      </c>
      <c r="D30" t="s">
        <v>31</v>
      </c>
      <c r="E30">
        <v>3300</v>
      </c>
    </row>
    <row r="31" spans="1:8">
      <c r="A31" s="4">
        <v>45826</v>
      </c>
      <c r="B31" t="s">
        <v>35</v>
      </c>
      <c r="C31" t="s">
        <v>18</v>
      </c>
      <c r="D31" t="s">
        <v>37</v>
      </c>
      <c r="E31">
        <v>2800</v>
      </c>
    </row>
    <row r="32" spans="1:8">
      <c r="A32" s="4">
        <v>45833</v>
      </c>
      <c r="B32" t="s">
        <v>35</v>
      </c>
      <c r="C32" t="s">
        <v>20</v>
      </c>
      <c r="D32" t="s">
        <v>21</v>
      </c>
      <c r="E32">
        <v>2700</v>
      </c>
    </row>
    <row r="33" spans="1:5">
      <c r="A33" s="4">
        <v>45843</v>
      </c>
      <c r="B33" t="s">
        <v>38</v>
      </c>
      <c r="C33" t="s">
        <v>11</v>
      </c>
      <c r="D33" t="s">
        <v>12</v>
      </c>
      <c r="E33">
        <v>12000</v>
      </c>
    </row>
    <row r="34" spans="1:5">
      <c r="A34" s="4">
        <v>45846</v>
      </c>
      <c r="B34" t="s">
        <v>38</v>
      </c>
      <c r="C34" t="s">
        <v>13</v>
      </c>
      <c r="D34" t="s">
        <v>14</v>
      </c>
      <c r="E34">
        <v>4100</v>
      </c>
    </row>
    <row r="35" spans="1:5">
      <c r="A35" s="4">
        <v>45850</v>
      </c>
      <c r="B35" t="s">
        <v>38</v>
      </c>
      <c r="C35" t="s">
        <v>15</v>
      </c>
      <c r="D35" t="s">
        <v>27</v>
      </c>
      <c r="E35">
        <v>2600</v>
      </c>
    </row>
    <row r="36" spans="1:5">
      <c r="A36" s="4">
        <v>45857</v>
      </c>
      <c r="B36" t="s">
        <v>38</v>
      </c>
      <c r="C36" t="s">
        <v>18</v>
      </c>
      <c r="D36" t="s">
        <v>19</v>
      </c>
      <c r="E36">
        <v>1800</v>
      </c>
    </row>
    <row r="37" spans="1:5">
      <c r="A37" s="4">
        <v>45864</v>
      </c>
      <c r="B37" t="s">
        <v>38</v>
      </c>
      <c r="C37" t="s">
        <v>20</v>
      </c>
      <c r="D37" t="s">
        <v>21</v>
      </c>
      <c r="E37">
        <v>2400</v>
      </c>
    </row>
    <row r="38" spans="1:5">
      <c r="A38" s="4">
        <v>45874</v>
      </c>
      <c r="B38" t="s">
        <v>39</v>
      </c>
      <c r="C38" t="s">
        <v>11</v>
      </c>
      <c r="D38" t="s">
        <v>12</v>
      </c>
      <c r="E38">
        <v>12000</v>
      </c>
    </row>
    <row r="39" spans="1:5">
      <c r="A39" s="4">
        <v>45878</v>
      </c>
      <c r="B39" t="s">
        <v>39</v>
      </c>
      <c r="C39" t="s">
        <v>13</v>
      </c>
      <c r="D39" t="s">
        <v>14</v>
      </c>
      <c r="E39">
        <v>4700</v>
      </c>
    </row>
    <row r="40" spans="1:5">
      <c r="A40" s="4">
        <v>45883</v>
      </c>
      <c r="B40" t="s">
        <v>39</v>
      </c>
      <c r="C40" t="s">
        <v>15</v>
      </c>
      <c r="D40" t="s">
        <v>31</v>
      </c>
      <c r="E40">
        <v>3100</v>
      </c>
    </row>
    <row r="41" spans="1:5">
      <c r="A41" s="4">
        <v>45889</v>
      </c>
      <c r="B41" t="s">
        <v>39</v>
      </c>
      <c r="C41" t="s">
        <v>18</v>
      </c>
      <c r="D41" t="s">
        <v>34</v>
      </c>
      <c r="E41">
        <v>2200</v>
      </c>
    </row>
    <row r="42" spans="1:5">
      <c r="A42" s="4">
        <v>45895</v>
      </c>
      <c r="B42" t="s">
        <v>39</v>
      </c>
      <c r="C42" t="s">
        <v>20</v>
      </c>
      <c r="D42" t="s">
        <v>21</v>
      </c>
      <c r="E42">
        <v>2500</v>
      </c>
    </row>
    <row r="43" spans="1:5">
      <c r="A43" s="4">
        <v>45905</v>
      </c>
      <c r="B43" t="s">
        <v>40</v>
      </c>
      <c r="C43" t="s">
        <v>11</v>
      </c>
      <c r="D43" t="s">
        <v>12</v>
      </c>
      <c r="E43">
        <v>12000</v>
      </c>
    </row>
    <row r="44" spans="1:5">
      <c r="A44" s="4">
        <v>45908</v>
      </c>
      <c r="B44" t="s">
        <v>40</v>
      </c>
      <c r="C44" t="s">
        <v>13</v>
      </c>
      <c r="D44" t="s">
        <v>14</v>
      </c>
      <c r="E44">
        <v>4300</v>
      </c>
    </row>
    <row r="45" spans="1:5">
      <c r="A45" s="4">
        <v>45913</v>
      </c>
      <c r="B45" t="s">
        <v>40</v>
      </c>
      <c r="C45" t="s">
        <v>15</v>
      </c>
      <c r="D45" t="s">
        <v>27</v>
      </c>
      <c r="E45">
        <v>2700</v>
      </c>
    </row>
    <row r="46" spans="1:5">
      <c r="A46" s="4">
        <v>45918</v>
      </c>
      <c r="B46" t="s">
        <v>40</v>
      </c>
      <c r="C46" t="s">
        <v>18</v>
      </c>
      <c r="D46" t="s">
        <v>28</v>
      </c>
      <c r="E46">
        <v>2000</v>
      </c>
    </row>
    <row r="47" spans="1:5">
      <c r="A47" s="4">
        <v>45925</v>
      </c>
      <c r="B47" t="s">
        <v>40</v>
      </c>
      <c r="C47" t="s">
        <v>20</v>
      </c>
      <c r="D47" t="s">
        <v>21</v>
      </c>
      <c r="E47">
        <v>2400</v>
      </c>
    </row>
    <row r="48" spans="1:5">
      <c r="A48" s="4">
        <v>45935</v>
      </c>
      <c r="B48" t="s">
        <v>41</v>
      </c>
      <c r="C48" t="s">
        <v>11</v>
      </c>
      <c r="D48" t="s">
        <v>12</v>
      </c>
      <c r="E48">
        <v>12000</v>
      </c>
    </row>
    <row r="49" spans="1:5">
      <c r="A49" s="4">
        <v>45939</v>
      </c>
      <c r="B49" t="s">
        <v>41</v>
      </c>
      <c r="C49" t="s">
        <v>13</v>
      </c>
      <c r="D49" t="s">
        <v>14</v>
      </c>
      <c r="E49">
        <v>5000</v>
      </c>
    </row>
    <row r="50" spans="1:5">
      <c r="A50" s="4">
        <v>45944</v>
      </c>
      <c r="B50" t="s">
        <v>41</v>
      </c>
      <c r="C50" t="s">
        <v>15</v>
      </c>
      <c r="D50" t="s">
        <v>31</v>
      </c>
      <c r="E50">
        <v>3200</v>
      </c>
    </row>
    <row r="51" spans="1:5">
      <c r="A51" s="4">
        <v>45950</v>
      </c>
      <c r="B51" t="s">
        <v>41</v>
      </c>
      <c r="C51" t="s">
        <v>18</v>
      </c>
      <c r="D51" t="s">
        <v>42</v>
      </c>
      <c r="E51">
        <v>3500</v>
      </c>
    </row>
    <row r="52" spans="1:5">
      <c r="A52" s="4">
        <v>45956</v>
      </c>
      <c r="B52" t="s">
        <v>41</v>
      </c>
      <c r="C52" t="s">
        <v>20</v>
      </c>
      <c r="D52" t="s">
        <v>21</v>
      </c>
      <c r="E52">
        <v>2800</v>
      </c>
    </row>
    <row r="53" spans="1:5">
      <c r="A53" s="4">
        <v>45966</v>
      </c>
      <c r="B53" t="s">
        <v>43</v>
      </c>
      <c r="C53" t="s">
        <v>11</v>
      </c>
      <c r="D53" t="s">
        <v>12</v>
      </c>
      <c r="E53">
        <v>12000</v>
      </c>
    </row>
    <row r="54" spans="1:5">
      <c r="A54" s="4">
        <v>45969</v>
      </c>
      <c r="B54" t="s">
        <v>43</v>
      </c>
      <c r="C54" t="s">
        <v>13</v>
      </c>
      <c r="D54" t="s">
        <v>14</v>
      </c>
      <c r="E54">
        <v>4600</v>
      </c>
    </row>
    <row r="55" spans="1:5">
      <c r="A55" s="4">
        <v>45974</v>
      </c>
      <c r="B55" t="s">
        <v>43</v>
      </c>
      <c r="C55" t="s">
        <v>15</v>
      </c>
      <c r="D55" t="s">
        <v>31</v>
      </c>
      <c r="E55">
        <v>3000</v>
      </c>
    </row>
    <row r="56" spans="1:5">
      <c r="A56" s="4">
        <v>45980</v>
      </c>
      <c r="B56" t="s">
        <v>43</v>
      </c>
      <c r="C56" t="s">
        <v>18</v>
      </c>
      <c r="D56" t="s">
        <v>19</v>
      </c>
      <c r="E56">
        <v>2100</v>
      </c>
    </row>
    <row r="57" spans="1:5">
      <c r="A57" s="4">
        <v>45986</v>
      </c>
      <c r="B57" t="s">
        <v>43</v>
      </c>
      <c r="C57" t="s">
        <v>20</v>
      </c>
      <c r="D57" t="s">
        <v>21</v>
      </c>
      <c r="E57">
        <v>2600</v>
      </c>
    </row>
    <row r="58" spans="1:5">
      <c r="A58" s="4">
        <v>45996</v>
      </c>
      <c r="B58" t="s">
        <v>44</v>
      </c>
      <c r="C58" t="s">
        <v>11</v>
      </c>
      <c r="D58" t="s">
        <v>12</v>
      </c>
      <c r="E58">
        <v>12000</v>
      </c>
    </row>
    <row r="59" spans="1:5">
      <c r="A59" s="4">
        <v>46000</v>
      </c>
      <c r="B59" t="s">
        <v>44</v>
      </c>
      <c r="C59" t="s">
        <v>13</v>
      </c>
      <c r="D59" t="s">
        <v>14</v>
      </c>
      <c r="E59">
        <v>5400</v>
      </c>
    </row>
    <row r="60" spans="1:5">
      <c r="A60" s="4">
        <v>46005</v>
      </c>
      <c r="B60" t="s">
        <v>44</v>
      </c>
      <c r="C60" t="s">
        <v>15</v>
      </c>
      <c r="D60" t="s">
        <v>45</v>
      </c>
      <c r="E60">
        <v>3600</v>
      </c>
    </row>
    <row r="61" spans="1:5">
      <c r="A61" s="4">
        <v>46011</v>
      </c>
      <c r="B61" t="s">
        <v>44</v>
      </c>
      <c r="C61" t="s">
        <v>18</v>
      </c>
      <c r="D61" t="s">
        <v>46</v>
      </c>
      <c r="E61">
        <v>4000</v>
      </c>
    </row>
    <row r="62" spans="1:5">
      <c r="A62" s="4">
        <v>46017</v>
      </c>
      <c r="B62" t="s">
        <v>44</v>
      </c>
      <c r="C62" t="s">
        <v>20</v>
      </c>
      <c r="D62" t="s">
        <v>21</v>
      </c>
      <c r="E62">
        <v>3000</v>
      </c>
    </row>
    <row r="63" spans="1:5">
      <c r="A63" s="4"/>
    </row>
    <row r="64" spans="1:5">
      <c r="A64" s="4"/>
    </row>
    <row r="65" spans="1:1">
      <c r="A65" s="4"/>
    </row>
    <row r="66" spans="1:1">
      <c r="A66" s="4"/>
    </row>
    <row r="67" spans="1:1">
      <c r="A67" s="4"/>
    </row>
    <row r="68" spans="1:1">
      <c r="A68" s="4"/>
    </row>
    <row r="69" spans="1:1">
      <c r="A69" s="4"/>
    </row>
    <row r="70" spans="1:1">
      <c r="A70" s="4"/>
    </row>
    <row r="71" spans="1:1">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8"/>
  <sheetViews>
    <sheetView workbookViewId="0">
      <selection activeCell="D51" sqref="D51"/>
    </sheetView>
  </sheetViews>
  <sheetFormatPr defaultRowHeight="14.25"/>
  <cols>
    <col min="1" max="1" width="13.125" bestFit="1" customWidth="1"/>
    <col min="2" max="2" width="20.125" bestFit="1" customWidth="1"/>
    <col min="8" max="8" width="15.375" bestFit="1" customWidth="1"/>
    <col min="9" max="9" width="20.125" bestFit="1" customWidth="1"/>
  </cols>
  <sheetData>
    <row r="3" spans="1:9">
      <c r="A3" s="14" t="s">
        <v>47</v>
      </c>
      <c r="B3" t="s">
        <v>49</v>
      </c>
      <c r="D3" s="14" t="s">
        <v>47</v>
      </c>
      <c r="E3" t="s">
        <v>49</v>
      </c>
      <c r="H3" s="14" t="s">
        <v>47</v>
      </c>
      <c r="I3" t="s">
        <v>49</v>
      </c>
    </row>
    <row r="4" spans="1:9">
      <c r="A4" s="15" t="s">
        <v>18</v>
      </c>
      <c r="B4" s="16">
        <v>28400</v>
      </c>
      <c r="D4" s="15" t="s">
        <v>18</v>
      </c>
      <c r="E4" s="16">
        <v>28400</v>
      </c>
      <c r="H4" s="15" t="s">
        <v>27</v>
      </c>
      <c r="I4" s="16">
        <v>7900</v>
      </c>
    </row>
    <row r="5" spans="1:9">
      <c r="A5" s="15" t="s">
        <v>13</v>
      </c>
      <c r="B5" s="16">
        <v>55800</v>
      </c>
      <c r="D5" s="15" t="s">
        <v>13</v>
      </c>
      <c r="E5" s="16">
        <v>55800</v>
      </c>
      <c r="H5" s="15" t="s">
        <v>16</v>
      </c>
      <c r="I5" s="16">
        <v>6000</v>
      </c>
    </row>
    <row r="6" spans="1:9">
      <c r="A6" s="15" t="s">
        <v>11</v>
      </c>
      <c r="B6" s="16">
        <v>144000</v>
      </c>
      <c r="D6" s="15" t="s">
        <v>11</v>
      </c>
      <c r="E6" s="16">
        <v>144000</v>
      </c>
      <c r="H6" s="15" t="s">
        <v>21</v>
      </c>
      <c r="I6" s="16">
        <v>28400</v>
      </c>
    </row>
    <row r="7" spans="1:9">
      <c r="A7" s="15" t="s">
        <v>15</v>
      </c>
      <c r="B7" s="16">
        <v>36000</v>
      </c>
      <c r="D7" s="15" t="s">
        <v>15</v>
      </c>
      <c r="E7" s="16">
        <v>36000</v>
      </c>
      <c r="H7" s="15" t="s">
        <v>42</v>
      </c>
      <c r="I7" s="16">
        <v>3500</v>
      </c>
    </row>
    <row r="8" spans="1:9">
      <c r="A8" s="15" t="s">
        <v>20</v>
      </c>
      <c r="B8" s="16">
        <v>30800</v>
      </c>
      <c r="D8" s="15" t="s">
        <v>20</v>
      </c>
      <c r="E8" s="16">
        <v>30800</v>
      </c>
      <c r="H8" s="15" t="s">
        <v>31</v>
      </c>
      <c r="I8" s="16">
        <v>18500</v>
      </c>
    </row>
    <row r="9" spans="1:9">
      <c r="A9" s="15" t="s">
        <v>48</v>
      </c>
      <c r="B9" s="16">
        <v>295000</v>
      </c>
      <c r="D9" s="15" t="s">
        <v>48</v>
      </c>
      <c r="E9" s="16">
        <v>295000</v>
      </c>
      <c r="H9" s="15" t="s">
        <v>14</v>
      </c>
      <c r="I9" s="16">
        <v>55800</v>
      </c>
    </row>
    <row r="10" spans="1:9">
      <c r="H10" s="15" t="s">
        <v>12</v>
      </c>
      <c r="I10" s="16">
        <v>144000</v>
      </c>
    </row>
    <row r="11" spans="1:9">
      <c r="H11" s="15" t="s">
        <v>19</v>
      </c>
      <c r="I11" s="16">
        <v>10300</v>
      </c>
    </row>
    <row r="12" spans="1:9">
      <c r="H12" s="15" t="s">
        <v>28</v>
      </c>
      <c r="I12" s="16">
        <v>3500</v>
      </c>
    </row>
    <row r="13" spans="1:9">
      <c r="H13" s="15" t="s">
        <v>34</v>
      </c>
      <c r="I13" s="16">
        <v>4300</v>
      </c>
    </row>
    <row r="14" spans="1:9">
      <c r="H14" s="15" t="s">
        <v>45</v>
      </c>
      <c r="I14" s="16">
        <v>3600</v>
      </c>
    </row>
    <row r="15" spans="1:9">
      <c r="H15" s="15" t="s">
        <v>37</v>
      </c>
      <c r="I15" s="16">
        <v>2800</v>
      </c>
    </row>
    <row r="16" spans="1:9">
      <c r="H16" s="15" t="s">
        <v>24</v>
      </c>
      <c r="I16" s="16">
        <v>2400</v>
      </c>
    </row>
    <row r="17" spans="8:9">
      <c r="H17" s="15" t="s">
        <v>46</v>
      </c>
      <c r="I17" s="16">
        <v>4000</v>
      </c>
    </row>
    <row r="18" spans="8:9">
      <c r="H18" s="15" t="s">
        <v>48</v>
      </c>
      <c r="I18" s="16">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Normal="100" workbookViewId="0">
      <selection activeCell="W24" sqref="W2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17" sqref="H17"/>
    </sheetView>
  </sheetViews>
  <sheetFormatPr defaultRowHeight="14.25"/>
  <cols>
    <col min="1" max="1" width="15.5" customWidth="1"/>
    <col min="5" max="5" width="12" customWidth="1"/>
    <col min="8" max="8" width="33.125" customWidth="1"/>
  </cols>
  <sheetData>
    <row r="1" spans="1:8" ht="15.75">
      <c r="A1" s="1" t="s">
        <v>0</v>
      </c>
      <c r="B1" s="2" t="s">
        <v>1</v>
      </c>
      <c r="C1" s="2" t="s">
        <v>2</v>
      </c>
      <c r="D1" s="2" t="s">
        <v>3</v>
      </c>
      <c r="E1" s="2" t="s">
        <v>4</v>
      </c>
    </row>
    <row r="2" spans="1:8">
      <c r="A2" s="8">
        <v>45662</v>
      </c>
      <c r="B2" s="9" t="s">
        <v>10</v>
      </c>
      <c r="C2" s="9" t="s">
        <v>11</v>
      </c>
      <c r="D2" s="9" t="s">
        <v>12</v>
      </c>
      <c r="E2" s="9">
        <v>12000</v>
      </c>
    </row>
    <row r="3" spans="1:8">
      <c r="A3" s="10">
        <v>45665</v>
      </c>
      <c r="B3" s="11" t="s">
        <v>10</v>
      </c>
      <c r="C3" s="11" t="s">
        <v>13</v>
      </c>
      <c r="D3" s="11" t="s">
        <v>14</v>
      </c>
      <c r="E3" s="11">
        <v>4200</v>
      </c>
    </row>
    <row r="4" spans="1:8">
      <c r="A4" s="8">
        <v>45669</v>
      </c>
      <c r="B4" s="9" t="s">
        <v>10</v>
      </c>
      <c r="C4" s="9" t="s">
        <v>15</v>
      </c>
      <c r="D4" s="9" t="s">
        <v>16</v>
      </c>
      <c r="E4" s="9">
        <v>2800</v>
      </c>
    </row>
    <row r="5" spans="1:8">
      <c r="A5" s="10">
        <v>45675</v>
      </c>
      <c r="B5" s="11" t="s">
        <v>10</v>
      </c>
      <c r="C5" s="11" t="s">
        <v>18</v>
      </c>
      <c r="D5" s="11" t="s">
        <v>19</v>
      </c>
      <c r="E5" s="11">
        <v>2300</v>
      </c>
    </row>
    <row r="6" spans="1:8">
      <c r="A6" s="8">
        <v>45682</v>
      </c>
      <c r="B6" s="9" t="s">
        <v>10</v>
      </c>
      <c r="C6" s="9" t="s">
        <v>20</v>
      </c>
      <c r="D6" s="9" t="s">
        <v>21</v>
      </c>
      <c r="E6" s="9">
        <v>2600</v>
      </c>
    </row>
    <row r="7" spans="1:8">
      <c r="A7" s="10">
        <v>45693</v>
      </c>
      <c r="B7" s="11" t="s">
        <v>22</v>
      </c>
      <c r="C7" s="11" t="s">
        <v>11</v>
      </c>
      <c r="D7" s="11" t="s">
        <v>12</v>
      </c>
      <c r="E7" s="11">
        <v>12000</v>
      </c>
    </row>
    <row r="8" spans="1:8">
      <c r="A8" s="8">
        <v>45697</v>
      </c>
      <c r="B8" s="9" t="s">
        <v>22</v>
      </c>
      <c r="C8" s="9" t="s">
        <v>13</v>
      </c>
      <c r="D8" s="9" t="s">
        <v>14</v>
      </c>
      <c r="E8" s="9">
        <v>5100</v>
      </c>
    </row>
    <row r="9" spans="1:8">
      <c r="A9" s="10">
        <v>45700</v>
      </c>
      <c r="B9" s="11" t="s">
        <v>22</v>
      </c>
      <c r="C9" s="11" t="s">
        <v>15</v>
      </c>
      <c r="D9" s="11" t="s">
        <v>16</v>
      </c>
      <c r="E9" s="11">
        <v>3200</v>
      </c>
    </row>
    <row r="10" spans="1:8" ht="15">
      <c r="A10" s="8">
        <v>45706</v>
      </c>
      <c r="B10" s="9" t="s">
        <v>22</v>
      </c>
      <c r="C10" s="9" t="s">
        <v>18</v>
      </c>
      <c r="D10" s="9" t="s">
        <v>19</v>
      </c>
      <c r="E10" s="9">
        <v>1900</v>
      </c>
      <c r="H10" s="5" t="s">
        <v>17</v>
      </c>
    </row>
    <row r="11" spans="1:8">
      <c r="A11" s="10">
        <v>45712</v>
      </c>
      <c r="B11" s="11" t="s">
        <v>22</v>
      </c>
      <c r="C11" s="11" t="s">
        <v>20</v>
      </c>
      <c r="D11" s="11" t="s">
        <v>24</v>
      </c>
      <c r="E11" s="11">
        <v>2400</v>
      </c>
      <c r="H11" s="6">
        <f>SUM(E8:E67)</f>
        <v>259100</v>
      </c>
    </row>
    <row r="12" spans="1:8">
      <c r="A12" s="8">
        <v>45721</v>
      </c>
      <c r="B12" s="9" t="s">
        <v>25</v>
      </c>
      <c r="C12" s="9" t="s">
        <v>11</v>
      </c>
      <c r="D12" s="9" t="s">
        <v>12</v>
      </c>
      <c r="E12" s="9">
        <v>12000</v>
      </c>
    </row>
    <row r="13" spans="1:8">
      <c r="A13" s="10">
        <v>45724</v>
      </c>
      <c r="B13" s="11" t="s">
        <v>25</v>
      </c>
      <c r="C13" s="11" t="s">
        <v>13</v>
      </c>
      <c r="D13" s="11" t="s">
        <v>14</v>
      </c>
      <c r="E13" s="11">
        <v>3900</v>
      </c>
    </row>
    <row r="14" spans="1:8">
      <c r="A14" s="8">
        <v>45730</v>
      </c>
      <c r="B14" s="9" t="s">
        <v>25</v>
      </c>
      <c r="C14" s="9" t="s">
        <v>15</v>
      </c>
      <c r="D14" s="9" t="s">
        <v>27</v>
      </c>
      <c r="E14" s="9">
        <v>2600</v>
      </c>
    </row>
    <row r="15" spans="1:8" ht="15">
      <c r="A15" s="10">
        <v>45736</v>
      </c>
      <c r="B15" s="11" t="s">
        <v>25</v>
      </c>
      <c r="C15" s="11" t="s">
        <v>18</v>
      </c>
      <c r="D15" s="11" t="s">
        <v>28</v>
      </c>
      <c r="E15" s="11">
        <v>1500</v>
      </c>
      <c r="H15" s="2" t="s">
        <v>23</v>
      </c>
    </row>
    <row r="16" spans="1:8">
      <c r="A16" s="8">
        <v>45742</v>
      </c>
      <c r="B16" s="9" t="s">
        <v>25</v>
      </c>
      <c r="C16" s="9" t="s">
        <v>20</v>
      </c>
      <c r="D16" s="9" t="s">
        <v>21</v>
      </c>
      <c r="E16" s="9">
        <v>2300</v>
      </c>
      <c r="H16" s="6">
        <f>SUMIF(C:C,"food",E:E)</f>
        <v>55800</v>
      </c>
    </row>
    <row r="17" spans="1:8">
      <c r="A17" s="10">
        <v>45752</v>
      </c>
      <c r="B17" s="11" t="s">
        <v>29</v>
      </c>
      <c r="C17" s="11" t="s">
        <v>11</v>
      </c>
      <c r="D17" s="11" t="s">
        <v>12</v>
      </c>
      <c r="E17" s="11">
        <v>12000</v>
      </c>
    </row>
    <row r="18" spans="1:8">
      <c r="A18" s="8">
        <v>45756</v>
      </c>
      <c r="B18" s="9" t="s">
        <v>29</v>
      </c>
      <c r="C18" s="9" t="s">
        <v>13</v>
      </c>
      <c r="D18" s="9" t="s">
        <v>14</v>
      </c>
      <c r="E18" s="9">
        <v>4500</v>
      </c>
    </row>
    <row r="19" spans="1:8" ht="15">
      <c r="A19" s="10">
        <v>45760</v>
      </c>
      <c r="B19" s="11" t="s">
        <v>29</v>
      </c>
      <c r="C19" s="11" t="s">
        <v>15</v>
      </c>
      <c r="D19" s="11" t="s">
        <v>31</v>
      </c>
      <c r="E19" s="11">
        <v>3000</v>
      </c>
      <c r="H19" s="2" t="s">
        <v>26</v>
      </c>
    </row>
    <row r="20" spans="1:8">
      <c r="A20" s="8">
        <v>45766</v>
      </c>
      <c r="B20" s="9" t="s">
        <v>29</v>
      </c>
      <c r="C20" s="9" t="s">
        <v>18</v>
      </c>
      <c r="D20" s="9" t="s">
        <v>19</v>
      </c>
      <c r="E20" s="9">
        <v>2200</v>
      </c>
      <c r="H20" s="6">
        <f>AVERAGE(E8:E67)</f>
        <v>4798.1481481481478</v>
      </c>
    </row>
    <row r="21" spans="1:8">
      <c r="A21" s="10">
        <v>45772</v>
      </c>
      <c r="B21" s="11" t="s">
        <v>29</v>
      </c>
      <c r="C21" s="11" t="s">
        <v>20</v>
      </c>
      <c r="D21" s="11" t="s">
        <v>21</v>
      </c>
      <c r="E21" s="11">
        <v>2500</v>
      </c>
    </row>
    <row r="22" spans="1:8">
      <c r="A22" s="8">
        <v>45782</v>
      </c>
      <c r="B22" s="9" t="s">
        <v>33</v>
      </c>
      <c r="C22" s="9" t="s">
        <v>11</v>
      </c>
      <c r="D22" s="9" t="s">
        <v>12</v>
      </c>
      <c r="E22" s="9">
        <v>12000</v>
      </c>
    </row>
    <row r="23" spans="1:8">
      <c r="A23" s="10">
        <v>45785</v>
      </c>
      <c r="B23" s="11" t="s">
        <v>33</v>
      </c>
      <c r="C23" s="11" t="s">
        <v>13</v>
      </c>
      <c r="D23" s="11" t="s">
        <v>14</v>
      </c>
      <c r="E23" s="11">
        <v>4800</v>
      </c>
      <c r="H23" s="7" t="s">
        <v>30</v>
      </c>
    </row>
    <row r="24" spans="1:8">
      <c r="A24" s="8">
        <v>45791</v>
      </c>
      <c r="B24" s="9" t="s">
        <v>33</v>
      </c>
      <c r="C24" s="9" t="s">
        <v>15</v>
      </c>
      <c r="D24" s="9" t="s">
        <v>31</v>
      </c>
      <c r="E24" s="9">
        <v>2900</v>
      </c>
      <c r="H24" s="6">
        <f>SUMIF(B:B,"January",E:E)</f>
        <v>23900</v>
      </c>
    </row>
    <row r="25" spans="1:8">
      <c r="A25" s="10">
        <v>45797</v>
      </c>
      <c r="B25" s="11" t="s">
        <v>33</v>
      </c>
      <c r="C25" s="11" t="s">
        <v>18</v>
      </c>
      <c r="D25" s="11" t="s">
        <v>34</v>
      </c>
      <c r="E25" s="11">
        <v>2100</v>
      </c>
    </row>
    <row r="26" spans="1:8">
      <c r="A26" s="8">
        <v>45803</v>
      </c>
      <c r="B26" s="9" t="s">
        <v>33</v>
      </c>
      <c r="C26" s="9" t="s">
        <v>20</v>
      </c>
      <c r="D26" s="9" t="s">
        <v>21</v>
      </c>
      <c r="E26" s="9">
        <v>2600</v>
      </c>
    </row>
    <row r="27" spans="1:8">
      <c r="A27" s="10">
        <v>45813</v>
      </c>
      <c r="B27" s="11" t="s">
        <v>35</v>
      </c>
      <c r="C27" s="11" t="s">
        <v>11</v>
      </c>
      <c r="D27" s="11" t="s">
        <v>12</v>
      </c>
      <c r="E27" s="11">
        <v>12000</v>
      </c>
      <c r="H27" s="7" t="s">
        <v>32</v>
      </c>
    </row>
    <row r="28" spans="1:8">
      <c r="A28" s="8">
        <v>45817</v>
      </c>
      <c r="B28" s="9" t="s">
        <v>35</v>
      </c>
      <c r="C28" s="9" t="s">
        <v>13</v>
      </c>
      <c r="D28" s="9" t="s">
        <v>14</v>
      </c>
      <c r="E28" s="9">
        <v>5200</v>
      </c>
      <c r="H28" s="6">
        <f>SUMIFS(E:E,B:B,"January",C:C,"Food")</f>
        <v>4200</v>
      </c>
    </row>
    <row r="29" spans="1:8">
      <c r="A29" s="10">
        <v>45821</v>
      </c>
      <c r="B29" s="11" t="s">
        <v>35</v>
      </c>
      <c r="C29" s="11" t="s">
        <v>15</v>
      </c>
      <c r="D29" s="11" t="s">
        <v>31</v>
      </c>
      <c r="E29" s="11">
        <v>3300</v>
      </c>
    </row>
    <row r="30" spans="1:8">
      <c r="A30" s="8">
        <v>45826</v>
      </c>
      <c r="B30" s="9" t="s">
        <v>35</v>
      </c>
      <c r="C30" s="9" t="s">
        <v>18</v>
      </c>
      <c r="D30" s="9" t="s">
        <v>37</v>
      </c>
      <c r="E30" s="9">
        <v>2800</v>
      </c>
    </row>
    <row r="31" spans="1:8">
      <c r="A31" s="10">
        <v>45833</v>
      </c>
      <c r="B31" s="11" t="s">
        <v>35</v>
      </c>
      <c r="C31" s="11" t="s">
        <v>20</v>
      </c>
      <c r="D31" s="11" t="s">
        <v>21</v>
      </c>
      <c r="E31" s="11">
        <v>2700</v>
      </c>
    </row>
    <row r="32" spans="1:8">
      <c r="A32" s="8">
        <v>45843</v>
      </c>
      <c r="B32" s="9" t="s">
        <v>38</v>
      </c>
      <c r="C32" s="9" t="s">
        <v>11</v>
      </c>
      <c r="D32" s="9" t="s">
        <v>12</v>
      </c>
      <c r="E32" s="9">
        <v>12000</v>
      </c>
    </row>
    <row r="33" spans="1:8">
      <c r="A33" s="10">
        <v>45846</v>
      </c>
      <c r="B33" s="11" t="s">
        <v>38</v>
      </c>
      <c r="C33" s="11" t="s">
        <v>13</v>
      </c>
      <c r="D33" s="11" t="s">
        <v>14</v>
      </c>
      <c r="E33" s="11">
        <v>4100</v>
      </c>
      <c r="H33" s="7" t="s">
        <v>36</v>
      </c>
    </row>
    <row r="34" spans="1:8">
      <c r="A34" s="8">
        <v>45850</v>
      </c>
      <c r="B34" s="9" t="s">
        <v>38</v>
      </c>
      <c r="C34" s="9" t="s">
        <v>15</v>
      </c>
      <c r="D34" s="9" t="s">
        <v>27</v>
      </c>
      <c r="E34" s="9">
        <v>2600</v>
      </c>
      <c r="H34" s="6">
        <f>AVERAGEIF(B:B,"January",E:E)</f>
        <v>4780</v>
      </c>
    </row>
    <row r="35" spans="1:8">
      <c r="A35" s="10">
        <v>45857</v>
      </c>
      <c r="B35" s="11" t="s">
        <v>38</v>
      </c>
      <c r="C35" s="11" t="s">
        <v>18</v>
      </c>
      <c r="D35" s="11" t="s">
        <v>19</v>
      </c>
      <c r="E35" s="11">
        <v>1800</v>
      </c>
    </row>
    <row r="36" spans="1:8">
      <c r="A36" s="8">
        <v>45864</v>
      </c>
      <c r="B36" s="9" t="s">
        <v>38</v>
      </c>
      <c r="C36" s="9" t="s">
        <v>20</v>
      </c>
      <c r="D36" s="9" t="s">
        <v>21</v>
      </c>
      <c r="E36" s="9">
        <v>2400</v>
      </c>
    </row>
    <row r="37" spans="1:8">
      <c r="A37" s="10">
        <v>45874</v>
      </c>
      <c r="B37" s="11" t="s">
        <v>39</v>
      </c>
      <c r="C37" s="11" t="s">
        <v>11</v>
      </c>
      <c r="D37" s="11" t="s">
        <v>12</v>
      </c>
      <c r="E37" s="11">
        <v>12000</v>
      </c>
    </row>
    <row r="38" spans="1:8">
      <c r="A38" s="8">
        <v>45878</v>
      </c>
      <c r="B38" s="9" t="s">
        <v>39</v>
      </c>
      <c r="C38" s="9" t="s">
        <v>13</v>
      </c>
      <c r="D38" s="9" t="s">
        <v>14</v>
      </c>
      <c r="E38" s="9">
        <v>4700</v>
      </c>
    </row>
    <row r="39" spans="1:8">
      <c r="A39" s="10">
        <v>45883</v>
      </c>
      <c r="B39" s="11" t="s">
        <v>39</v>
      </c>
      <c r="C39" s="11" t="s">
        <v>15</v>
      </c>
      <c r="D39" s="11" t="s">
        <v>31</v>
      </c>
      <c r="E39" s="11">
        <v>3100</v>
      </c>
    </row>
    <row r="40" spans="1:8">
      <c r="A40" s="8">
        <v>45889</v>
      </c>
      <c r="B40" s="9" t="s">
        <v>39</v>
      </c>
      <c r="C40" s="9" t="s">
        <v>18</v>
      </c>
      <c r="D40" s="9" t="s">
        <v>34</v>
      </c>
      <c r="E40" s="9">
        <v>2200</v>
      </c>
    </row>
    <row r="41" spans="1:8">
      <c r="A41" s="10">
        <v>45895</v>
      </c>
      <c r="B41" s="11" t="s">
        <v>39</v>
      </c>
      <c r="C41" s="11" t="s">
        <v>20</v>
      </c>
      <c r="D41" s="11" t="s">
        <v>21</v>
      </c>
      <c r="E41" s="11">
        <v>2500</v>
      </c>
    </row>
    <row r="42" spans="1:8">
      <c r="A42" s="8">
        <v>45905</v>
      </c>
      <c r="B42" s="9" t="s">
        <v>40</v>
      </c>
      <c r="C42" s="9" t="s">
        <v>11</v>
      </c>
      <c r="D42" s="9" t="s">
        <v>12</v>
      </c>
      <c r="E42" s="9">
        <v>12000</v>
      </c>
    </row>
    <row r="43" spans="1:8">
      <c r="A43" s="10">
        <v>45908</v>
      </c>
      <c r="B43" s="11" t="s">
        <v>40</v>
      </c>
      <c r="C43" s="11" t="s">
        <v>13</v>
      </c>
      <c r="D43" s="11" t="s">
        <v>14</v>
      </c>
      <c r="E43" s="11">
        <v>4300</v>
      </c>
    </row>
    <row r="44" spans="1:8">
      <c r="A44" s="8">
        <v>45913</v>
      </c>
      <c r="B44" s="9" t="s">
        <v>40</v>
      </c>
      <c r="C44" s="9" t="s">
        <v>15</v>
      </c>
      <c r="D44" s="9" t="s">
        <v>27</v>
      </c>
      <c r="E44" s="9">
        <v>2700</v>
      </c>
    </row>
    <row r="45" spans="1:8">
      <c r="A45" s="10">
        <v>45918</v>
      </c>
      <c r="B45" s="11" t="s">
        <v>40</v>
      </c>
      <c r="C45" s="11" t="s">
        <v>18</v>
      </c>
      <c r="D45" s="11" t="s">
        <v>28</v>
      </c>
      <c r="E45" s="11">
        <v>2000</v>
      </c>
    </row>
    <row r="46" spans="1:8">
      <c r="A46" s="8">
        <v>45925</v>
      </c>
      <c r="B46" s="9" t="s">
        <v>40</v>
      </c>
      <c r="C46" s="9" t="s">
        <v>20</v>
      </c>
      <c r="D46" s="9" t="s">
        <v>21</v>
      </c>
      <c r="E46" s="9">
        <v>2400</v>
      </c>
    </row>
    <row r="47" spans="1:8">
      <c r="A47" s="10">
        <v>45935</v>
      </c>
      <c r="B47" s="11" t="s">
        <v>41</v>
      </c>
      <c r="C47" s="11" t="s">
        <v>11</v>
      </c>
      <c r="D47" s="11" t="s">
        <v>12</v>
      </c>
      <c r="E47" s="11">
        <v>12000</v>
      </c>
    </row>
    <row r="48" spans="1:8">
      <c r="A48" s="8">
        <v>45939</v>
      </c>
      <c r="B48" s="9" t="s">
        <v>41</v>
      </c>
      <c r="C48" s="9" t="s">
        <v>13</v>
      </c>
      <c r="D48" s="9" t="s">
        <v>14</v>
      </c>
      <c r="E48" s="9">
        <v>5000</v>
      </c>
    </row>
    <row r="49" spans="1:5">
      <c r="A49" s="10">
        <v>45944</v>
      </c>
      <c r="B49" s="11" t="s">
        <v>41</v>
      </c>
      <c r="C49" s="11" t="s">
        <v>15</v>
      </c>
      <c r="D49" s="11" t="s">
        <v>31</v>
      </c>
      <c r="E49" s="11">
        <v>3200</v>
      </c>
    </row>
    <row r="50" spans="1:5">
      <c r="A50" s="8">
        <v>45950</v>
      </c>
      <c r="B50" s="9" t="s">
        <v>41</v>
      </c>
      <c r="C50" s="9" t="s">
        <v>18</v>
      </c>
      <c r="D50" s="9" t="s">
        <v>42</v>
      </c>
      <c r="E50" s="9">
        <v>3500</v>
      </c>
    </row>
    <row r="51" spans="1:5">
      <c r="A51" s="10">
        <v>45956</v>
      </c>
      <c r="B51" s="11" t="s">
        <v>41</v>
      </c>
      <c r="C51" s="11" t="s">
        <v>20</v>
      </c>
      <c r="D51" s="11" t="s">
        <v>21</v>
      </c>
      <c r="E51" s="11">
        <v>2800</v>
      </c>
    </row>
    <row r="52" spans="1:5">
      <c r="A52" s="8">
        <v>45966</v>
      </c>
      <c r="B52" s="9" t="s">
        <v>43</v>
      </c>
      <c r="C52" s="9" t="s">
        <v>11</v>
      </c>
      <c r="D52" s="9" t="s">
        <v>12</v>
      </c>
      <c r="E52" s="9">
        <v>12000</v>
      </c>
    </row>
    <row r="53" spans="1:5">
      <c r="A53" s="10">
        <v>45969</v>
      </c>
      <c r="B53" s="11" t="s">
        <v>43</v>
      </c>
      <c r="C53" s="11" t="s">
        <v>13</v>
      </c>
      <c r="D53" s="11" t="s">
        <v>14</v>
      </c>
      <c r="E53" s="11">
        <v>4600</v>
      </c>
    </row>
    <row r="54" spans="1:5">
      <c r="A54" s="8">
        <v>45974</v>
      </c>
      <c r="B54" s="9" t="s">
        <v>43</v>
      </c>
      <c r="C54" s="9" t="s">
        <v>15</v>
      </c>
      <c r="D54" s="9" t="s">
        <v>31</v>
      </c>
      <c r="E54" s="9">
        <v>3000</v>
      </c>
    </row>
    <row r="55" spans="1:5">
      <c r="A55" s="10">
        <v>45980</v>
      </c>
      <c r="B55" s="11" t="s">
        <v>43</v>
      </c>
      <c r="C55" s="11" t="s">
        <v>18</v>
      </c>
      <c r="D55" s="11" t="s">
        <v>19</v>
      </c>
      <c r="E55" s="11">
        <v>2100</v>
      </c>
    </row>
    <row r="56" spans="1:5">
      <c r="A56" s="8">
        <v>45986</v>
      </c>
      <c r="B56" s="9" t="s">
        <v>43</v>
      </c>
      <c r="C56" s="9" t="s">
        <v>20</v>
      </c>
      <c r="D56" s="9" t="s">
        <v>21</v>
      </c>
      <c r="E56" s="9">
        <v>2600</v>
      </c>
    </row>
    <row r="57" spans="1:5">
      <c r="A57" s="10">
        <v>45996</v>
      </c>
      <c r="B57" s="11" t="s">
        <v>44</v>
      </c>
      <c r="C57" s="11" t="s">
        <v>11</v>
      </c>
      <c r="D57" s="11" t="s">
        <v>12</v>
      </c>
      <c r="E57" s="11">
        <v>12000</v>
      </c>
    </row>
    <row r="58" spans="1:5">
      <c r="A58" s="8">
        <v>46000</v>
      </c>
      <c r="B58" s="9" t="s">
        <v>44</v>
      </c>
      <c r="C58" s="9" t="s">
        <v>13</v>
      </c>
      <c r="D58" s="9" t="s">
        <v>14</v>
      </c>
      <c r="E58" s="9">
        <v>5400</v>
      </c>
    </row>
    <row r="59" spans="1:5">
      <c r="A59" s="10">
        <v>46005</v>
      </c>
      <c r="B59" s="11" t="s">
        <v>44</v>
      </c>
      <c r="C59" s="11" t="s">
        <v>15</v>
      </c>
      <c r="D59" s="11" t="s">
        <v>45</v>
      </c>
      <c r="E59" s="11">
        <v>3600</v>
      </c>
    </row>
    <row r="60" spans="1:5">
      <c r="A60" s="8">
        <v>46011</v>
      </c>
      <c r="B60" s="9" t="s">
        <v>44</v>
      </c>
      <c r="C60" s="9" t="s">
        <v>18</v>
      </c>
      <c r="D60" s="9" t="s">
        <v>46</v>
      </c>
      <c r="E60" s="9">
        <v>4000</v>
      </c>
    </row>
    <row r="61" spans="1:5">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2026-01-22T05:12:31Z</dcterms:modified>
</cp:coreProperties>
</file>
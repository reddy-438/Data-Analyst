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firstSheet="2" activeTab="2"/>
  </bookViews>
  <sheets>
    <sheet name="Sheet2" sheetId="1" r:id="rId1"/>
    <sheet name="Sheet1" sheetId="2" r:id="rId2"/>
    <sheet name="Sheet3" sheetId="3" r:id="rId3"/>
    <sheet name="Student_Data" sheetId="4" r:id="rId4"/>
  </sheets>
  <definedNames>
    <definedName name="Slicer_Department">#N/A</definedName>
    <definedName name="Slicer_Gender">#N/A</definedName>
    <definedName name="Slicer_Performance_Status">#N/A</definedName>
    <definedName name="Slicer_Semester">#N/A</definedName>
    <definedName name="Slicer_Student_ID">#N/A</definedName>
    <definedName name="_xlnm._FilterDatabase" localSheetId="3" hidden="1">Student_Data!$A$1:$N$23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<sst xmlns="http://schemas.openxmlformats.org/spreadsheetml/2006/main" count="106" uniqueCount="39">
  <si>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Row Labels</t>
  </si>
  <si>
    <t>Sum of AVG GPA</t>
  </si>
  <si>
    <t>CIVIL</t>
  </si>
  <si>
    <t>CSE</t>
  </si>
  <si>
    <t>ECE</t>
  </si>
  <si>
    <t>EEE</t>
  </si>
  <si>
    <t>MECHANICAL</t>
  </si>
  <si>
    <t>Grand Total</t>
  </si>
  <si>
    <t>Sum of GPA</t>
  </si>
  <si>
    <t>Sum of Maths</t>
  </si>
  <si>
    <t>Sum of Physics</t>
  </si>
  <si>
    <t>Sum of Chemistry</t>
  </si>
  <si>
    <t>Sum of Computer_Science</t>
  </si>
  <si>
    <t>Sum of Attendance_%</t>
  </si>
  <si>
    <t>Civil</t>
  </si>
  <si>
    <t>Mechanical</t>
  </si>
  <si>
    <t>Sum of Student_ID</t>
  </si>
  <si>
    <t>Female</t>
  </si>
  <si>
    <t>Male</t>
  </si>
  <si>
    <t>Student_ID</t>
  </si>
  <si>
    <t>Gender</t>
  </si>
  <si>
    <t>Department</t>
  </si>
  <si>
    <t>Semester</t>
  </si>
  <si>
    <t>Attendance_%</t>
  </si>
  <si>
    <t>Maths</t>
  </si>
  <si>
    <t>Physics</t>
  </si>
  <si>
    <t>Chemistry</t>
  </si>
  <si>
    <t>Computer_Science</t>
  </si>
  <si>
    <t>English</t>
  </si>
  <si>
    <t>Total_Marks</t>
  </si>
  <si>
    <t>Overall_%</t>
  </si>
  <si>
    <t>GPA</t>
  </si>
  <si>
    <t>Performance_Status</t>
  </si>
  <si>
    <t>department</t>
  </si>
  <si>
    <t>AVG GPA</t>
  </si>
  <si>
    <t>AVG ATTENDENCE</t>
  </si>
  <si>
    <t>OVERAL ATTENDANCE AVG</t>
  </si>
  <si>
    <t>OVERAL %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</si>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</sst>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ANALYTICS.xlsx]Sheet2!PivotTable3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AVG GPA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</c:dPt>
          <c:dLbls>
            <c:dLbl>
              <c:idx val="0"/>
              <c:layout>
                <c:manualLayout>
                  <c:x val="-0.00916491688538933"/>
                  <c:y val="-0.033140492855059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87962598425197"/>
                  <c:y val="-0.120511081948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67243000874891"/>
                  <c:y val="0.01549103237095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8966426071741"/>
                  <c:y val="0.10460010207057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30839129483815"/>
                  <c:y val="0.11534667541557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6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MECHANICAL</c:v>
                </c:pt>
                <c:pt idx="5">
                  <c:v>Grand Total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6"/>
                <c:pt idx="0">
                  <c:v>8.12</c:v>
                </c:pt>
                <c:pt idx="1">
                  <c:v>7.44333333333333</c:v>
                </c:pt>
                <c:pt idx="2">
                  <c:v>7.405</c:v>
                </c:pt>
                <c:pt idx="3">
                  <c:v>7.40285714285714</c:v>
                </c:pt>
                <c:pt idx="4">
                  <c:v>8.17333333333333</c:v>
                </c:pt>
                <c:pt idx="5">
                  <c:v>38.5445238095238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32ccd5-c34f-4b9a-a29d-5ed74c1017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38178345770632"/>
          <c:y val="0.221979189166694"/>
          <c:w val="0.946182165422937"/>
          <c:h val="0.47159124797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Sheet1!$A$4:$A$26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Sheet1!$B$4:$B$26</c:f>
              <c:numCache>
                <c:formatCode>General</c:formatCode>
                <c:ptCount val="22"/>
                <c:pt idx="0">
                  <c:v>8.72</c:v>
                </c:pt>
                <c:pt idx="1">
                  <c:v>6.34</c:v>
                </c:pt>
                <c:pt idx="2">
                  <c:v>7.14</c:v>
                </c:pt>
                <c:pt idx="3">
                  <c:v>8.22</c:v>
                </c:pt>
                <c:pt idx="4">
                  <c:v>6.48</c:v>
                </c:pt>
                <c:pt idx="5">
                  <c:v>7.18</c:v>
                </c:pt>
                <c:pt idx="6">
                  <c:v>7.64</c:v>
                </c:pt>
                <c:pt idx="7">
                  <c:v>8.18</c:v>
                </c:pt>
                <c:pt idx="8">
                  <c:v>7.3</c:v>
                </c:pt>
                <c:pt idx="9">
                  <c:v>8.62</c:v>
                </c:pt>
                <c:pt idx="10">
                  <c:v>6.34</c:v>
                </c:pt>
                <c:pt idx="11">
                  <c:v>7.78</c:v>
                </c:pt>
                <c:pt idx="12">
                  <c:v>7.9</c:v>
                </c:pt>
                <c:pt idx="13">
                  <c:v>7.46</c:v>
                </c:pt>
                <c:pt idx="14">
                  <c:v>7.94</c:v>
                </c:pt>
                <c:pt idx="15">
                  <c:v>7.02</c:v>
                </c:pt>
                <c:pt idx="16">
                  <c:v>8.12</c:v>
                </c:pt>
                <c:pt idx="17">
                  <c:v>6.92</c:v>
                </c:pt>
                <c:pt idx="18">
                  <c:v>8.14</c:v>
                </c:pt>
                <c:pt idx="19">
                  <c:v>7.6</c:v>
                </c:pt>
                <c:pt idx="20">
                  <c:v>7.7</c:v>
                </c:pt>
                <c:pt idx="21">
                  <c:v>7.38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7786592"/>
        <c:axId val="957782272"/>
      </c:barChart>
      <c:catAx>
        <c:axId val="9577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57782272"/>
        <c:crosses val="autoZero"/>
        <c:auto val="1"/>
        <c:lblAlgn val="ctr"/>
        <c:lblOffset val="100"/>
        <c:noMultiLvlLbl val="0"/>
      </c:catAx>
      <c:valAx>
        <c:axId val="9577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5778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704568-6085-4a8d-bbe7-f13c0a6260b3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914294427186"/>
          <c:y val="0.189043945822587"/>
          <c:w val="0.323576173335191"/>
          <c:h val="0.540287224674116"/>
        </c:manualLayout>
      </c:layout>
      <c:doughnutChart>
        <c:varyColors val="1"/>
        <c:ser>
          <c:idx val="0"/>
          <c:order val="0"/>
          <c:tx>
            <c:strRef>
              <c:f>"Series1"</c:f>
              <c:strCache>
                <c:ptCount val="1"/>
                <c:pt idx="0">
                  <c:v>Series1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explosion val="3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{"CSE","ECE","EEE"}</c:f>
              <c:strCache>
                <c:ptCount val="3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</c:strCache>
            </c:strRef>
          </c:cat>
          <c:val>
            <c:numRef>
              <c:f>{7.3,14.26,15.82}</c:f>
              <c:numCache>
                <c:formatCode>General</c:formatCode>
                <c:ptCount val="3"/>
                <c:pt idx="0">
                  <c:v>7.3</c:v>
                </c:pt>
                <c:pt idx="1">
                  <c:v>14.26</c:v>
                </c:pt>
                <c:pt idx="2">
                  <c:v>15.82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2b0dd4-8f04-460a-a52f-bacf6fc9b0b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ANALYTICS.xlsx]Sheet1!PivotTable2</c:name>
    <c:fmtId val="29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Sheet1!$H$17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Sheet1!$G$18:$G$20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Sheet1!$H$18:$H$20</c:f>
              <c:numCache>
                <c:formatCode>General</c:formatCode>
                <c:ptCount val="2"/>
                <c:pt idx="0">
                  <c:v>92</c:v>
                </c:pt>
                <c:pt idx="1">
                  <c:v>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4d0291-f9e7-4acf-a706-fbbb30a34d8b}"/>
      </c:ext>
    </c:extLst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558340105382"/>
          <c:y val="0.0823126275882181"/>
          <c:w val="0.624564741907262"/>
          <c:h val="0.8065762613006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{"CSE","ECE","EEE"}</c:f>
              <c:strCache>
                <c:ptCount val="3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</c:strCache>
            </c:strRef>
          </c:cat>
          <c:val>
            <c:numRef>
              <c:f>{7.3,14.26,15.82}</c:f>
              <c:numCache>
                <c:formatCode>General</c:formatCode>
                <c:ptCount val="3"/>
                <c:pt idx="0">
                  <c:v>7.3</c:v>
                </c:pt>
                <c:pt idx="1">
                  <c:v>14.26</c:v>
                </c:pt>
                <c:pt idx="2">
                  <c:v>15.82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9936496"/>
        <c:axId val="519936976"/>
      </c:barChart>
      <c:catAx>
        <c:axId val="51993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36976"/>
        <c:crosses val="autoZero"/>
        <c:auto val="1"/>
        <c:lblAlgn val="ctr"/>
        <c:lblOffset val="100"/>
        <c:noMultiLvlLbl val="0"/>
      </c:catAx>
      <c:valAx>
        <c:axId val="519936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cadfe2-1530-4390-b120-6a373c66d1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ANALYTICS.xlsx]Sheet1!PivotTable5</c:name>
    <c:fmtId val="51"/>
  </c:pivotSource>
  <c:chart>
    <c:autoTitleDeleted val="1"/>
    <c:plotArea>
      <c:layout>
        <c:manualLayout>
          <c:layoutTarget val="inner"/>
          <c:xMode val="edge"/>
          <c:yMode val="edge"/>
          <c:x val="0.0787348373409059"/>
          <c:y val="0.225136319457835"/>
          <c:w val="0.73458530183727"/>
          <c:h val="0.658530912802566"/>
        </c:manualLayout>
      </c:layout>
      <c:lineChart>
        <c:grouping val="standard"/>
        <c:varyColors val="0"/>
        <c:ser>
          <c:idx val="0"/>
          <c:order val="0"/>
          <c:tx>
            <c:strRef>
              <c:f>Sheet1!$J$9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Sheet1!$I$10:$I$15</c:f>
              <c:strCache>
                <c:ptCount val="5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Mechanical</c:v>
                </c:pt>
              </c:strCache>
            </c:strRef>
          </c:cat>
          <c:val>
            <c:numRef>
              <c:f>Sheet1!$J$10:$J$15</c:f>
              <c:numCache>
                <c:formatCode>General</c:formatCode>
                <c:ptCount val="5"/>
                <c:pt idx="0">
                  <c:v>82</c:v>
                </c:pt>
                <c:pt idx="1">
                  <c:v>507</c:v>
                </c:pt>
                <c:pt idx="2">
                  <c:v>345</c:v>
                </c:pt>
                <c:pt idx="3">
                  <c:v>547</c:v>
                </c:pt>
                <c:pt idx="4">
                  <c:v>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946608"/>
        <c:axId val="544947568"/>
      </c:lineChart>
      <c:catAx>
        <c:axId val="5449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947568"/>
        <c:crosses val="autoZero"/>
        <c:auto val="1"/>
        <c:lblAlgn val="ctr"/>
        <c:lblOffset val="100"/>
        <c:noMultiLvlLbl val="0"/>
      </c:catAx>
      <c:valAx>
        <c:axId val="54494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9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708b41-b64b-4d68-9b82-0c357c2c11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ANALYTICS.xlsx]Sheet1!PivotTable2</c:name>
    <c:fmtId val="36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Sheet1!$H$17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114940306323733"/>
                  <c:y val="-0.18314909956314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277714539126"/>
                  <c:y val="0.16436457653103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Sheet1!$G$18:$G$20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Sheet1!$H$18:$H$20</c:f>
              <c:numCache>
                <c:formatCode>General</c:formatCode>
                <c:ptCount val="2"/>
                <c:pt idx="0">
                  <c:v>92</c:v>
                </c:pt>
                <c:pt idx="1">
                  <c:v>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996207660688"/>
          <c:y val="0.811987262094361"/>
          <c:w val="0.206007376662646"/>
          <c:h val="0.18801273790563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d225da-045b-4272-8842-5143fd8dcfb1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ANALYTICS.xlsx]Sheet1!PivotTable5</c:name>
    <c:fmtId val="56"/>
  </c:pivotSource>
  <c:chart>
    <c:autoTitleDeleted val="1"/>
    <c:plotArea>
      <c:layout>
        <c:manualLayout>
          <c:layoutTarget val="inner"/>
          <c:xMode val="edge"/>
          <c:yMode val="edge"/>
          <c:x val="0.126935089242426"/>
          <c:y val="0.0786351552145924"/>
          <c:w val="0.73458530183727"/>
          <c:h val="0.658530912802566"/>
        </c:manualLayout>
      </c:layout>
      <c:lineChart>
        <c:grouping val="standard"/>
        <c:varyColors val="0"/>
        <c:ser>
          <c:idx val="0"/>
          <c:order val="0"/>
          <c:tx>
            <c:strRef>
              <c:f>Sheet1!$J$9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Sheet1!$I$10:$I$15</c:f>
              <c:strCache>
                <c:ptCount val="5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Mechanical</c:v>
                </c:pt>
              </c:strCache>
            </c:strRef>
          </c:cat>
          <c:val>
            <c:numRef>
              <c:f>Sheet1!$J$10:$J$15</c:f>
              <c:numCache>
                <c:formatCode>General</c:formatCode>
                <c:ptCount val="5"/>
                <c:pt idx="0">
                  <c:v>82</c:v>
                </c:pt>
                <c:pt idx="1">
                  <c:v>507</c:v>
                </c:pt>
                <c:pt idx="2">
                  <c:v>345</c:v>
                </c:pt>
                <c:pt idx="3">
                  <c:v>547</c:v>
                </c:pt>
                <c:pt idx="4">
                  <c:v>349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4946608"/>
        <c:axId val="544947568"/>
      </c:lineChart>
      <c:catAx>
        <c:axId val="5449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947568"/>
        <c:crosses val="autoZero"/>
        <c:auto val="1"/>
        <c:lblAlgn val="ctr"/>
        <c:lblOffset val="100"/>
        <c:noMultiLvlLbl val="0"/>
      </c:catAx>
      <c:valAx>
        <c:axId val="5449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9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5ca679-c6e9-4e43-ac81-c7b7c9dde6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ANALYTICS.xlsx]Sheet1!PivotTable1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53158050204243"/>
          <c:y val="0.169830318526933"/>
          <c:w val="0.93489617805963"/>
          <c:h val="0.63127240764938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Sheet1!$A$4:$A$26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Sheet1!$B$4:$B$26</c:f>
              <c:numCache>
                <c:formatCode>General</c:formatCode>
                <c:ptCount val="22"/>
                <c:pt idx="0">
                  <c:v>8.72</c:v>
                </c:pt>
                <c:pt idx="1">
                  <c:v>6.34</c:v>
                </c:pt>
                <c:pt idx="2">
                  <c:v>7.14</c:v>
                </c:pt>
                <c:pt idx="3">
                  <c:v>8.22</c:v>
                </c:pt>
                <c:pt idx="4">
                  <c:v>6.48</c:v>
                </c:pt>
                <c:pt idx="5">
                  <c:v>7.18</c:v>
                </c:pt>
                <c:pt idx="6">
                  <c:v>7.64</c:v>
                </c:pt>
                <c:pt idx="7">
                  <c:v>8.18</c:v>
                </c:pt>
                <c:pt idx="8">
                  <c:v>7.3</c:v>
                </c:pt>
                <c:pt idx="9">
                  <c:v>8.62</c:v>
                </c:pt>
                <c:pt idx="10">
                  <c:v>6.34</c:v>
                </c:pt>
                <c:pt idx="11">
                  <c:v>7.78</c:v>
                </c:pt>
                <c:pt idx="12">
                  <c:v>7.9</c:v>
                </c:pt>
                <c:pt idx="13">
                  <c:v>7.46</c:v>
                </c:pt>
                <c:pt idx="14">
                  <c:v>7.94</c:v>
                </c:pt>
                <c:pt idx="15">
                  <c:v>7.02</c:v>
                </c:pt>
                <c:pt idx="16">
                  <c:v>8.12</c:v>
                </c:pt>
                <c:pt idx="17">
                  <c:v>6.92</c:v>
                </c:pt>
                <c:pt idx="18">
                  <c:v>8.14</c:v>
                </c:pt>
                <c:pt idx="19">
                  <c:v>7.6</c:v>
                </c:pt>
                <c:pt idx="20">
                  <c:v>7.7</c:v>
                </c:pt>
                <c:pt idx="21">
                  <c:v>7.38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7786592"/>
        <c:axId val="957782272"/>
      </c:barChart>
      <c:catAx>
        <c:axId val="9577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82272"/>
        <c:crosses val="autoZero"/>
        <c:auto val="1"/>
        <c:lblAlgn val="ctr"/>
        <c:lblOffset val="100"/>
        <c:noMultiLvlLbl val="0"/>
      </c:catAx>
      <c:valAx>
        <c:axId val="95778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8659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e30747-55e1-4b7a-8a10-83b096fe2a8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219129121064"/>
          <c:y val="0.0869421667929902"/>
          <c:w val="0.624564741907262"/>
          <c:h val="0.8065762613006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{"CSE","ECE","EEE"}</c:f>
              <c:strCache>
                <c:ptCount val="3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</c:strCache>
            </c:strRef>
          </c:cat>
          <c:val>
            <c:numRef>
              <c:f>{7.3,14.26,15.82}</c:f>
              <c:numCache>
                <c:formatCode>General</c:formatCode>
                <c:ptCount val="3"/>
                <c:pt idx="0">
                  <c:v>7.3</c:v>
                </c:pt>
                <c:pt idx="1">
                  <c:v>14.26</c:v>
                </c:pt>
                <c:pt idx="2">
                  <c:v>15.82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9936496"/>
        <c:axId val="519936976"/>
      </c:barChart>
      <c:catAx>
        <c:axId val="519936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36976"/>
        <c:crosses val="autoZero"/>
        <c:auto val="1"/>
        <c:lblAlgn val="ctr"/>
        <c:lblOffset val="100"/>
        <c:noMultiLvlLbl val="0"/>
      </c:catAx>
      <c:valAx>
        <c:axId val="51993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9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2516c4-0ef4-4469-a7ea-8b8eb10e732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914294427186"/>
          <c:y val="0.189043945822587"/>
          <c:w val="0.323576173335191"/>
          <c:h val="0.540287224674116"/>
        </c:manualLayout>
      </c:layout>
      <c:doughnutChart>
        <c:varyColors val="1"/>
        <c:ser>
          <c:idx val="0"/>
          <c:order val="0"/>
          <c:tx>
            <c:strRef>
              <c:f>"Series1"</c:f>
              <c:strCache>
                <c:ptCount val="1"/>
                <c:pt idx="0">
                  <c:v>Series1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3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80453897164497"/>
                  <c:y val="-0.046913567477594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8713615800857"/>
                  <c:y val="0.17358019966709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6973334437217"/>
                  <c:y val="0.089135778207428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{"CSE","ECE","EEE"}</c:f>
              <c:strCache>
                <c:ptCount val="3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</c:strCache>
            </c:strRef>
          </c:cat>
          <c:val>
            <c:numRef>
              <c:f>{7.3,14.26,15.82}</c:f>
              <c:numCache>
                <c:formatCode>General</c:formatCode>
                <c:ptCount val="3"/>
                <c:pt idx="0">
                  <c:v>7.3</c:v>
                </c:pt>
                <c:pt idx="1">
                  <c:v>14.26</c:v>
                </c:pt>
                <c:pt idx="2">
                  <c:v>15.82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1847ab-ce40-4e56-9211-dd76b4c065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761435</xdr:colOff>
      <xdr:row>5</xdr:row>
      <xdr:rowOff>37951</xdr:rowOff>
    </xdr:from>
    <xdr:to>
      <xdr:col>8</xdr:col>
      <xdr:colOff>197593</xdr:colOff>
      <xdr:row>20</xdr:row>
      <xdr:rowOff>37951</xdr:rowOff>
    </xdr:to>
    <xdr:graphicFrame>
      <xdr:nvGraphicFramePr>
        <xdr:cNvPr id="2" name="图表 1"/>
        <xdr:cNvGraphicFramePr/>
      </xdr:nvGraphicFramePr>
      <xdr:xfrm>
        <a:off x="1595120" y="989965"/>
        <a:ext cx="481457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242385</xdr:colOff>
      <xdr:row>45</xdr:row>
      <xdr:rowOff>50601</xdr:rowOff>
    </xdr:from>
    <xdr:to>
      <xdr:col>12</xdr:col>
      <xdr:colOff>503595</xdr:colOff>
      <xdr:row>61</xdr:row>
      <xdr:rowOff>126503</xdr:rowOff>
    </xdr:to>
    <xdr:graphicFrame>
      <xdr:nvGraphicFramePr>
        <xdr:cNvPr id="2" name="图表 1"/>
        <xdr:cNvGraphicFramePr/>
      </xdr:nvGraphicFramePr>
      <xdr:xfrm>
        <a:off x="2717165" y="8622665"/>
        <a:ext cx="825373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346750</xdr:colOff>
      <xdr:row>31</xdr:row>
      <xdr:rowOff>88552</xdr:rowOff>
    </xdr:from>
    <xdr:to>
      <xdr:col>18</xdr:col>
      <xdr:colOff>281528</xdr:colOff>
      <xdr:row>46</xdr:row>
      <xdr:rowOff>88552</xdr:rowOff>
    </xdr:to>
    <xdr:graphicFrame>
      <xdr:nvGraphicFramePr>
        <xdr:cNvPr id="3" name="图表 2"/>
        <xdr:cNvGraphicFramePr/>
      </xdr:nvGraphicFramePr>
      <xdr:xfrm>
        <a:off x="10814050" y="5993765"/>
        <a:ext cx="463486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811782</xdr:colOff>
      <xdr:row>28</xdr:row>
      <xdr:rowOff>139154</xdr:rowOff>
    </xdr:from>
    <xdr:to>
      <xdr:col>10</xdr:col>
      <xdr:colOff>229885</xdr:colOff>
      <xdr:row>42</xdr:row>
      <xdr:rowOff>139154</xdr:rowOff>
    </xdr:to>
    <xdr:graphicFrame>
      <xdr:nvGraphicFramePr>
        <xdr:cNvPr id="4" name="图表 3"/>
        <xdr:cNvGraphicFramePr/>
      </xdr:nvGraphicFramePr>
      <xdr:xfrm>
        <a:off x="5594985" y="5473065"/>
        <a:ext cx="376872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260377</xdr:colOff>
      <xdr:row>26</xdr:row>
      <xdr:rowOff>139154</xdr:rowOff>
    </xdr:from>
    <xdr:to>
      <xdr:col>6</xdr:col>
      <xdr:colOff>209997</xdr:colOff>
      <xdr:row>41</xdr:row>
      <xdr:rowOff>177105</xdr:rowOff>
    </xdr:to>
    <xdr:graphicFrame>
      <xdr:nvGraphicFramePr>
        <xdr:cNvPr id="5" name="图表 4"/>
        <xdr:cNvGraphicFramePr/>
      </xdr:nvGraphicFramePr>
      <xdr:xfrm>
        <a:off x="260350" y="5092065"/>
        <a:ext cx="4732655" cy="2894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14608</xdr:colOff>
      <xdr:row>12</xdr:row>
      <xdr:rowOff>139154</xdr:rowOff>
    </xdr:from>
    <xdr:to>
      <xdr:col>15</xdr:col>
      <xdr:colOff>8358</xdr:colOff>
      <xdr:row>26</xdr:row>
      <xdr:rowOff>88552</xdr:rowOff>
    </xdr:to>
    <xdr:sp>
      <xdr:nvSpPr>
        <xdr:cNvPr id="6" name=" "/>
        <xdr:cNvSpPr/>
      </xdr:nvSpPr>
      <xdr:spPr>
        <a:xfrm>
          <a:off x="10481945" y="2425065"/>
          <a:ext cx="1993900" cy="2616200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18</xdr:col>
      <xdr:colOff>615609</xdr:colOff>
      <xdr:row>32</xdr:row>
      <xdr:rowOff>164455</xdr:rowOff>
    </xdr:from>
    <xdr:to>
      <xdr:col>19</xdr:col>
      <xdr:colOff>1330667</xdr:colOff>
      <xdr:row>46</xdr:row>
      <xdr:rowOff>101203</xdr:rowOff>
    </xdr:to>
    <xdr:sp>
      <xdr:nvSpPr>
        <xdr:cNvPr id="7" name=" "/>
        <xdr:cNvSpPr/>
      </xdr:nvSpPr>
      <xdr:spPr>
        <a:xfrm>
          <a:off x="15782925" y="6259830"/>
          <a:ext cx="1800225" cy="2604135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7</xdr:col>
      <xdr:colOff>741034</xdr:colOff>
      <xdr:row>15</xdr:row>
      <xdr:rowOff>0</xdr:rowOff>
    </xdr:from>
    <xdr:to>
      <xdr:col>11</xdr:col>
      <xdr:colOff>501288</xdr:colOff>
      <xdr:row>26</xdr:row>
      <xdr:rowOff>63251</xdr:rowOff>
    </xdr:to>
    <xdr:graphicFrame>
      <xdr:nvGraphicFramePr>
        <xdr:cNvPr id="8" name="图表 7"/>
        <xdr:cNvGraphicFramePr/>
      </xdr:nvGraphicFramePr>
      <xdr:xfrm>
        <a:off x="6430010" y="2857500"/>
        <a:ext cx="3871595" cy="2158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105521</xdr:colOff>
      <xdr:row>12</xdr:row>
      <xdr:rowOff>177105</xdr:rowOff>
    </xdr:from>
    <xdr:to>
      <xdr:col>5</xdr:col>
      <xdr:colOff>249875</xdr:colOff>
      <xdr:row>26</xdr:row>
      <xdr:rowOff>113853</xdr:rowOff>
    </xdr:to>
    <xdr:sp>
      <xdr:nvSpPr>
        <xdr:cNvPr id="9" name=" "/>
        <xdr:cNvSpPr/>
      </xdr:nvSpPr>
      <xdr:spPr>
        <a:xfrm>
          <a:off x="2580640" y="2462530"/>
          <a:ext cx="1785620" cy="2604135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11</xdr:col>
      <xdr:colOff>495137</xdr:colOff>
      <xdr:row>7</xdr:row>
      <xdr:rowOff>25300</xdr:rowOff>
    </xdr:from>
    <xdr:to>
      <xdr:col>14</xdr:col>
      <xdr:colOff>488987</xdr:colOff>
      <xdr:row>12</xdr:row>
      <xdr:rowOff>88552</xdr:rowOff>
    </xdr:to>
    <xdr:sp>
      <xdr:nvSpPr>
        <xdr:cNvPr id="10" name=" "/>
        <xdr:cNvSpPr/>
      </xdr:nvSpPr>
      <xdr:spPr>
        <a:xfrm>
          <a:off x="10295255" y="1358265"/>
          <a:ext cx="1994535" cy="1016000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7</xdr:col>
      <xdr:colOff>659152</xdr:colOff>
      <xdr:row>11</xdr:row>
      <xdr:rowOff>139154</xdr:rowOff>
    </xdr:from>
    <xdr:to>
      <xdr:col>9</xdr:col>
      <xdr:colOff>342051</xdr:colOff>
      <xdr:row>17</xdr:row>
      <xdr:rowOff>12650</xdr:rowOff>
    </xdr:to>
    <xdr:sp>
      <xdr:nvSpPr>
        <xdr:cNvPr id="11" name=" "/>
        <xdr:cNvSpPr/>
      </xdr:nvSpPr>
      <xdr:spPr>
        <a:xfrm>
          <a:off x="6348730" y="2234565"/>
          <a:ext cx="1772285" cy="1016000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126091</xdr:colOff>
      <xdr:row>0</xdr:row>
      <xdr:rowOff>0</xdr:rowOff>
    </xdr:from>
    <xdr:to>
      <xdr:col>23</xdr:col>
      <xdr:colOff>599701</xdr:colOff>
      <xdr:row>44</xdr:row>
      <xdr:rowOff>113853</xdr:rowOff>
    </xdr:to>
    <xdr:sp>
      <xdr:nvSpPr>
        <xdr:cNvPr id="2" name="rect"/>
        <xdr:cNvSpPr/>
      </xdr:nvSpPr>
      <xdr:spPr>
        <a:xfrm>
          <a:off x="125730" y="0"/>
          <a:ext cx="15808960" cy="8495665"/>
        </a:xfrm>
        <a:prstGeom prst="rect">
          <a:avLst/>
        </a:prstGeom>
        <a:solidFill>
          <a:srgbClr val="FAC090"/>
        </a:solidFill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15</xdr:col>
      <xdr:colOff>553570</xdr:colOff>
      <xdr:row>4</xdr:row>
      <xdr:rowOff>164455</xdr:rowOff>
    </xdr:from>
    <xdr:to>
      <xdr:col>23</xdr:col>
      <xdr:colOff>395187</xdr:colOff>
      <xdr:row>19</xdr:row>
      <xdr:rowOff>101203</xdr:rowOff>
    </xdr:to>
    <xdr:graphicFrame>
      <xdr:nvGraphicFramePr>
        <xdr:cNvPr id="3" name="图表 2"/>
        <xdr:cNvGraphicFramePr/>
      </xdr:nvGraphicFramePr>
      <xdr:xfrm>
        <a:off x="10554335" y="925830"/>
        <a:ext cx="5175885" cy="2794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195287</xdr:colOff>
      <xdr:row>5</xdr:row>
      <xdr:rowOff>12650</xdr:rowOff>
    </xdr:from>
    <xdr:to>
      <xdr:col>8</xdr:col>
      <xdr:colOff>251413</xdr:colOff>
      <xdr:row>19</xdr:row>
      <xdr:rowOff>139154</xdr:rowOff>
    </xdr:to>
    <xdr:graphicFrame>
      <xdr:nvGraphicFramePr>
        <xdr:cNvPr id="4" name="图表 3"/>
        <xdr:cNvGraphicFramePr/>
      </xdr:nvGraphicFramePr>
      <xdr:xfrm>
        <a:off x="194945" y="964565"/>
        <a:ext cx="5389880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102256</xdr:colOff>
      <xdr:row>19</xdr:row>
      <xdr:rowOff>63251</xdr:rowOff>
    </xdr:from>
    <xdr:to>
      <xdr:col>14</xdr:col>
      <xdr:colOff>260639</xdr:colOff>
      <xdr:row>43</xdr:row>
      <xdr:rowOff>12650</xdr:rowOff>
    </xdr:to>
    <xdr:graphicFrame>
      <xdr:nvGraphicFramePr>
        <xdr:cNvPr id="5" name="图表 4"/>
        <xdr:cNvGraphicFramePr/>
      </xdr:nvGraphicFramePr>
      <xdr:xfrm>
        <a:off x="2102485" y="3682365"/>
        <a:ext cx="7492365" cy="452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107638</xdr:colOff>
      <xdr:row>21</xdr:row>
      <xdr:rowOff>113853</xdr:rowOff>
    </xdr:from>
    <xdr:to>
      <xdr:col>3</xdr:col>
      <xdr:colOff>130704</xdr:colOff>
      <xdr:row>31</xdr:row>
      <xdr:rowOff>25300</xdr:rowOff>
    </xdr:to>
    <xdr:sp>
      <xdr:nvSpPr>
        <xdr:cNvPr id="6" name=" "/>
        <xdr:cNvSpPr/>
      </xdr:nvSpPr>
      <xdr:spPr>
        <a:xfrm>
          <a:off x="107315" y="4114165"/>
          <a:ext cx="2023110" cy="1816100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142236</xdr:colOff>
      <xdr:row>31</xdr:row>
      <xdr:rowOff>0</xdr:rowOff>
    </xdr:from>
    <xdr:to>
      <xdr:col>3</xdr:col>
      <xdr:colOff>155307</xdr:colOff>
      <xdr:row>44</xdr:row>
      <xdr:rowOff>139154</xdr:rowOff>
    </xdr:to>
    <xdr:sp>
      <xdr:nvSpPr>
        <xdr:cNvPr id="7" name=" "/>
        <xdr:cNvSpPr/>
      </xdr:nvSpPr>
      <xdr:spPr>
        <a:xfrm>
          <a:off x="141605" y="5905500"/>
          <a:ext cx="2013585" cy="2615565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14</xdr:col>
      <xdr:colOff>233729</xdr:colOff>
      <xdr:row>19</xdr:row>
      <xdr:rowOff>75902</xdr:rowOff>
    </xdr:from>
    <xdr:to>
      <xdr:col>23</xdr:col>
      <xdr:colOff>363664</xdr:colOff>
      <xdr:row>35</xdr:row>
      <xdr:rowOff>25300</xdr:rowOff>
    </xdr:to>
    <xdr:graphicFrame>
      <xdr:nvGraphicFramePr>
        <xdr:cNvPr id="8" name="图表 7"/>
        <xdr:cNvGraphicFramePr/>
      </xdr:nvGraphicFramePr>
      <xdr:xfrm>
        <a:off x="9568180" y="3695065"/>
        <a:ext cx="6130290" cy="299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403645</xdr:colOff>
      <xdr:row>35</xdr:row>
      <xdr:rowOff>113853</xdr:rowOff>
    </xdr:from>
    <xdr:to>
      <xdr:col>23</xdr:col>
      <xdr:colOff>372891</xdr:colOff>
      <xdr:row>39</xdr:row>
      <xdr:rowOff>75902</xdr:rowOff>
    </xdr:to>
    <xdr:sp>
      <xdr:nvSpPr>
        <xdr:cNvPr id="9" name=" "/>
        <xdr:cNvSpPr txBox="1"/>
      </xdr:nvSpPr>
      <xdr:spPr>
        <a:xfrm>
          <a:off x="9737725" y="6781165"/>
          <a:ext cx="5970270" cy="723900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6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STUDENT ATTENDANCE PERCENTAGE</a:t>
          </a:r>
          <a:endParaRPr lang="en-US" altLang="zh-CN" sz="16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pPr algn="ctr"/>
          <a:r>
            <a:rPr lang="en-US" altLang="zh-CN" sz="2000" b="1">
              <a:solidFill>
                <a:srgbClr val="000000"/>
              </a:solidFill>
              <a:latin typeface="+mn-lt"/>
              <a:ea typeface="+mn-lt"/>
            </a:rPr>
            <a:t>83.18181818</a:t>
          </a:r>
          <a:r>
            <a:rPr lang="en-US" altLang="zh-CN" sz="1600" b="1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 </a:t>
          </a:r>
          <a:endParaRPr lang="en-US" altLang="zh-CN" sz="1600" b="1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</xdr:txBody>
    </xdr:sp>
    <xdr:clientData/>
  </xdr:twoCellAnchor>
  <xdr:twoCellAnchor>
    <xdr:from>
      <xdr:col>14</xdr:col>
      <xdr:colOff>438243</xdr:colOff>
      <xdr:row>40</xdr:row>
      <xdr:rowOff>0</xdr:rowOff>
    </xdr:from>
    <xdr:to>
      <xdr:col>23</xdr:col>
      <xdr:colOff>322916</xdr:colOff>
      <xdr:row>44</xdr:row>
      <xdr:rowOff>25300</xdr:rowOff>
    </xdr:to>
    <xdr:sp>
      <xdr:nvSpPr>
        <xdr:cNvPr id="10" name=" "/>
        <xdr:cNvSpPr txBox="1"/>
      </xdr:nvSpPr>
      <xdr:spPr>
        <a:xfrm>
          <a:off x="9772650" y="7620000"/>
          <a:ext cx="5885180" cy="78676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6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AVERAGE PERCENTAGE</a:t>
          </a:r>
          <a:endParaRPr lang="en-US" altLang="zh-CN" sz="16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pPr algn="ctr"/>
          <a:r>
            <a:rPr lang="en-US" altLang="zh-CN" sz="2400" b="1">
              <a:solidFill>
                <a:srgbClr val="000000"/>
              </a:solidFill>
              <a:latin typeface="+mn-lt"/>
              <a:ea typeface="+mn-lt"/>
            </a:rPr>
            <a:t>75.5090909</a:t>
          </a:r>
          <a:r>
            <a:rPr lang="en-US" altLang="zh-CN" sz="1600">
              <a:solidFill>
                <a:srgbClr val="000000"/>
              </a:solidFill>
              <a:latin typeface="Calibri" panose="020F0502020204030204" charset="0"/>
              <a:ea typeface="Calibri" panose="020F0502020204030204" charset="0"/>
            </a:rPr>
            <a:t> </a:t>
          </a:r>
          <a:endParaRPr lang="en-US" altLang="zh-CN" sz="1600">
            <a:solidFill>
              <a:srgbClr val="000000"/>
            </a:solidFill>
            <a:latin typeface="Calibri" panose="020F0502020204030204" charset="0"/>
            <a:ea typeface="Calibri" panose="020F0502020204030204" charset="0"/>
          </a:endParaRPr>
        </a:p>
        <a:p>
          <a:pPr algn="ctr"/>
        </a:p>
      </xdr:txBody>
    </xdr:sp>
    <xdr:clientData/>
  </xdr:twoCellAnchor>
  <xdr:twoCellAnchor editAs="oneCell">
    <xdr:from>
      <xdr:col>17</xdr:col>
      <xdr:colOff>484374</xdr:colOff>
      <xdr:row>38</xdr:row>
      <xdr:rowOff>126503</xdr:rowOff>
    </xdr:from>
    <xdr:to>
      <xdr:col>18</xdr:col>
      <xdr:colOff>0</xdr:colOff>
      <xdr:row>40</xdr:row>
      <xdr:rowOff>9673</xdr:rowOff>
    </xdr:to>
    <xdr:sp>
      <xdr:nvSpPr>
        <xdr:cNvPr id="11" name=" "/>
        <xdr:cNvSpPr txBox="1"/>
      </xdr:nvSpPr>
      <xdr:spPr>
        <a:xfrm>
          <a:off x="11818620" y="7365365"/>
          <a:ext cx="182880" cy="26416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2</xdr:col>
      <xdr:colOff>426710</xdr:colOff>
      <xdr:row>1</xdr:row>
      <xdr:rowOff>50601</xdr:rowOff>
    </xdr:from>
    <xdr:to>
      <xdr:col>21</xdr:col>
      <xdr:colOff>230654</xdr:colOff>
      <xdr:row>4</xdr:row>
      <xdr:rowOff>50601</xdr:rowOff>
    </xdr:to>
    <xdr:sp>
      <xdr:nvSpPr>
        <xdr:cNvPr id="12" name=" "/>
        <xdr:cNvSpPr txBox="1"/>
      </xdr:nvSpPr>
      <xdr:spPr>
        <a:xfrm>
          <a:off x="1759585" y="240665"/>
          <a:ext cx="12472670" cy="571500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2800" b="1">
              <a:solidFill>
                <a:srgbClr val="008000"/>
              </a:solidFill>
              <a:latin typeface="Calibri" panose="020F0502020204030204" charset="0"/>
              <a:ea typeface="Calibri" panose="020F0502020204030204" charset="0"/>
            </a:rPr>
            <a:t>UNIVERSITY STUDENT PERFORMANCE TRACKER</a:t>
          </a:r>
          <a:endParaRPr lang="en-US" altLang="zh-CN" sz="2800" b="1">
            <a:solidFill>
              <a:srgbClr val="008000"/>
            </a:solidFill>
            <a:latin typeface="Calibri" panose="020F0502020204030204" charset="0"/>
            <a:ea typeface="Calibri" panose="020F0502020204030204" charset="0"/>
          </a:endParaRPr>
        </a:p>
      </xdr:txBody>
    </xdr:sp>
    <xdr:clientData/>
  </xdr:twoCellAnchor>
  <xdr:twoCellAnchor>
    <xdr:from>
      <xdr:col>14</xdr:col>
      <xdr:colOff>588168</xdr:colOff>
      <xdr:row>35</xdr:row>
      <xdr:rowOff>151804</xdr:rowOff>
    </xdr:from>
    <xdr:to>
      <xdr:col>15</xdr:col>
      <xdr:colOff>588168</xdr:colOff>
      <xdr:row>39</xdr:row>
      <xdr:rowOff>50601</xdr:rowOff>
    </xdr:to>
    <xdr:pic>
      <xdr:nvPicPr>
        <xdr:cNvPr id="13" name="Graphic 29" descr="Customer review with solid fill"/>
        <xdr:cNvPicPr/>
      </xdr:nvPicPr>
      <xdr:blipFill>
        <a:blip r:embed="rId6"/>
        <a:srcRect/>
        <a:stretch>
          <a:fillRect/>
        </a:stretch>
      </xdr:blipFill>
      <xdr:spPr>
        <a:xfrm>
          <a:off x="9922510" y="6819265"/>
          <a:ext cx="666750" cy="660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14</xdr:col>
      <xdr:colOff>576635</xdr:colOff>
      <xdr:row>40</xdr:row>
      <xdr:rowOff>0</xdr:rowOff>
    </xdr:from>
    <xdr:to>
      <xdr:col>16</xdr:col>
      <xdr:colOff>92261</xdr:colOff>
      <xdr:row>43</xdr:row>
      <xdr:rowOff>75902</xdr:rowOff>
    </xdr:to>
    <xdr:pic>
      <xdr:nvPicPr>
        <xdr:cNvPr id="14" name="Graphic 31" descr="Graduation cap with solid fill"/>
        <xdr:cNvPicPr/>
      </xdr:nvPicPr>
      <xdr:blipFill>
        <a:blip r:embed="rId7"/>
        <a:srcRect/>
        <a:stretch>
          <a:fillRect/>
        </a:stretch>
      </xdr:blipFill>
      <xdr:spPr>
        <a:xfrm>
          <a:off x="9911080" y="7620000"/>
          <a:ext cx="848995" cy="64706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72</xdr:row>
      <xdr:rowOff>164455</xdr:rowOff>
    </xdr:from>
    <xdr:to>
      <xdr:col>6</xdr:col>
      <xdr:colOff>86879</xdr:colOff>
      <xdr:row>73</xdr:row>
      <xdr:rowOff>25300</xdr:rowOff>
    </xdr:to>
    <xdr:sp>
      <xdr:nvSpPr>
        <xdr:cNvPr id="15" name=" "/>
        <xdr:cNvSpPr txBox="1"/>
      </xdr:nvSpPr>
      <xdr:spPr>
        <a:xfrm rot="319414">
          <a:off x="0" y="13893800"/>
          <a:ext cx="4086860" cy="5143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117633</xdr:colOff>
      <xdr:row>16</xdr:row>
      <xdr:rowOff>139154</xdr:rowOff>
    </xdr:from>
    <xdr:to>
      <xdr:col>3</xdr:col>
      <xdr:colOff>111482</xdr:colOff>
      <xdr:row>21</xdr:row>
      <xdr:rowOff>151804</xdr:rowOff>
    </xdr:to>
    <xdr:sp>
      <xdr:nvSpPr>
        <xdr:cNvPr id="16" name=" "/>
        <xdr:cNvSpPr/>
      </xdr:nvSpPr>
      <xdr:spPr>
        <a:xfrm>
          <a:off x="117475" y="3187065"/>
          <a:ext cx="1993900" cy="965200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63045</xdr:colOff>
      <xdr:row>5</xdr:row>
      <xdr:rowOff>12650</xdr:rowOff>
    </xdr:from>
    <xdr:to>
      <xdr:col>15</xdr:col>
      <xdr:colOff>525122</xdr:colOff>
      <xdr:row>19</xdr:row>
      <xdr:rowOff>50601</xdr:rowOff>
    </xdr:to>
    <xdr:graphicFrame>
      <xdr:nvGraphicFramePr>
        <xdr:cNvPr id="17" name="图表 16"/>
        <xdr:cNvGraphicFramePr/>
      </xdr:nvGraphicFramePr>
      <xdr:xfrm>
        <a:off x="5396865" y="964565"/>
        <a:ext cx="512889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49.5072959491" refreshedBy="Tharun Gowda" recordCount="22">
  <cacheSource type="worksheet">
    <worksheetSource name="Table1"/>
  </cacheSource>
  <cacheFields count="14">
    <cacheField name="Student_ID" numFmtId="0">
      <sharedItems containsSemiMixedTypes="0" containsString="0" containsNumber="1" containsInteger="1" minValue="0" maxValue="22" count="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Gender" numFmtId="0">
      <sharedItems count="2">
        <s v="Male"/>
        <s v="Female"/>
      </sharedItems>
    </cacheField>
    <cacheField name="Department" numFmtId="0">
      <sharedItems count="5">
        <s v="Mechanical"/>
        <s v="CSE"/>
        <s v="EEE"/>
        <s v="ECE"/>
        <s v="Civil"/>
      </sharedItems>
    </cacheField>
    <cacheField name="Semester" numFmtId="0">
      <sharedItems containsSemiMixedTypes="0" containsString="0" containsNumber="1" containsInteger="1" minValue="0" maxValue="8" count="8">
        <n v="6"/>
        <n v="5"/>
        <n v="4"/>
        <n v="1"/>
        <n v="8"/>
        <n v="7"/>
        <n v="3"/>
        <n v="2"/>
      </sharedItems>
    </cacheField>
    <cacheField name="Attendance_%" numFmtId="0"/>
    <cacheField name="Maths" numFmtId="0"/>
    <cacheField name="Physics" numFmtId="0"/>
    <cacheField name="Chemistry" numFmtId="0"/>
    <cacheField name="Computer_Science" numFmtId="0"/>
    <cacheField name="English" numFmtId="0"/>
    <cacheField name="Total_Marks" numFmtId="0"/>
    <cacheField name="Overall_%" numFmtId="0"/>
    <cacheField name="GPA" numFmtId="0"/>
    <cacheField name="Performance_Status" numFmtId="0">
      <sharedItems count="2">
        <s v="excellent"/>
        <s v="averag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0"/>
    <x v="0"/>
    <x v="0"/>
    <n v="88"/>
    <n v="99"/>
    <n v="66"/>
    <n v="86"/>
    <n v="95"/>
    <n v="90"/>
    <n v="436"/>
    <n v="87.2"/>
    <n v="8.7200000000000006"/>
    <x v="0"/>
  </r>
  <r>
    <x v="1"/>
    <x v="0"/>
    <x v="0"/>
    <x v="1"/>
    <n v="87"/>
    <n v="76"/>
    <n v="51"/>
    <n v="53"/>
    <n v="67"/>
    <n v="70"/>
    <n v="317"/>
    <n v="63.4"/>
    <n v="6.34"/>
    <x v="0"/>
  </r>
  <r>
    <x v="2"/>
    <x v="1"/>
    <x v="1"/>
    <x v="2"/>
    <n v="97"/>
    <n v="88"/>
    <n v="79"/>
    <n v="57"/>
    <n v="76"/>
    <n v="57"/>
    <n v="357"/>
    <n v="71.399999999999991"/>
    <n v="7.14"/>
    <x v="1"/>
  </r>
  <r>
    <x v="3"/>
    <x v="0"/>
    <x v="2"/>
    <x v="3"/>
    <n v="79"/>
    <n v="73"/>
    <n v="85"/>
    <n v="92"/>
    <n v="64"/>
    <n v="97"/>
    <n v="411"/>
    <n v="82.199999999999989"/>
    <n v="8.2199999999999989"/>
    <x v="1"/>
  </r>
  <r>
    <x v="4"/>
    <x v="1"/>
    <x v="3"/>
    <x v="3"/>
    <n v="98"/>
    <n v="61"/>
    <n v="54"/>
    <n v="79"/>
    <n v="62"/>
    <n v="68"/>
    <n v="324"/>
    <n v="64.8"/>
    <n v="6.48"/>
    <x v="0"/>
  </r>
  <r>
    <x v="5"/>
    <x v="0"/>
    <x v="2"/>
    <x v="4"/>
    <n v="81"/>
    <n v="89"/>
    <n v="52"/>
    <n v="53"/>
    <n v="69"/>
    <n v="96"/>
    <n v="359"/>
    <n v="71.8"/>
    <n v="7.18"/>
    <x v="1"/>
  </r>
  <r>
    <x v="6"/>
    <x v="0"/>
    <x v="0"/>
    <x v="5"/>
    <n v="81"/>
    <n v="88"/>
    <n v="53"/>
    <n v="66"/>
    <n v="77"/>
    <n v="98"/>
    <n v="382"/>
    <n v="76.400000000000006"/>
    <n v="7.6400000000000006"/>
    <x v="1"/>
  </r>
  <r>
    <x v="7"/>
    <x v="0"/>
    <x v="1"/>
    <x v="0"/>
    <n v="93"/>
    <n v="89"/>
    <n v="98"/>
    <n v="58"/>
    <n v="85"/>
    <n v="79"/>
    <n v="409"/>
    <n v="81.8"/>
    <n v="8.18"/>
    <x v="1"/>
  </r>
  <r>
    <x v="8"/>
    <x v="1"/>
    <x v="1"/>
    <x v="3"/>
    <n v="67"/>
    <n v="75"/>
    <n v="84"/>
    <n v="87"/>
    <n v="52"/>
    <n v="67"/>
    <n v="365"/>
    <n v="73"/>
    <n v="7.3"/>
    <x v="0"/>
  </r>
  <r>
    <x v="9"/>
    <x v="0"/>
    <x v="2"/>
    <x v="2"/>
    <n v="74"/>
    <n v="100"/>
    <n v="70"/>
    <n v="87"/>
    <n v="95"/>
    <n v="79"/>
    <n v="431"/>
    <n v="86.2"/>
    <n v="8.6199999999999992"/>
    <x v="1"/>
  </r>
  <r>
    <x v="10"/>
    <x v="0"/>
    <x v="0"/>
    <x v="4"/>
    <n v="93"/>
    <n v="56"/>
    <n v="51"/>
    <n v="50"/>
    <n v="67"/>
    <n v="93"/>
    <n v="317"/>
    <n v="63.4"/>
    <n v="6.34"/>
    <x v="0"/>
  </r>
  <r>
    <x v="11"/>
    <x v="0"/>
    <x v="3"/>
    <x v="3"/>
    <n v="93"/>
    <n v="100"/>
    <n v="74"/>
    <n v="76"/>
    <n v="89"/>
    <n v="50"/>
    <n v="389"/>
    <n v="77.8"/>
    <n v="7.78"/>
    <x v="1"/>
  </r>
  <r>
    <x v="12"/>
    <x v="0"/>
    <x v="1"/>
    <x v="6"/>
    <n v="97"/>
    <n v="56"/>
    <n v="98"/>
    <n v="86"/>
    <n v="96"/>
    <n v="59"/>
    <n v="395"/>
    <n v="79"/>
    <n v="7.9"/>
    <x v="1"/>
  </r>
  <r>
    <x v="13"/>
    <x v="0"/>
    <x v="2"/>
    <x v="4"/>
    <n v="80"/>
    <n v="96"/>
    <n v="59"/>
    <n v="79"/>
    <n v="64"/>
    <n v="75"/>
    <n v="373"/>
    <n v="74.599999999999994"/>
    <n v="7.46"/>
    <x v="1"/>
  </r>
  <r>
    <x v="14"/>
    <x v="0"/>
    <x v="3"/>
    <x v="5"/>
    <n v="88"/>
    <n v="75"/>
    <n v="62"/>
    <n v="74"/>
    <n v="91"/>
    <n v="95"/>
    <n v="397"/>
    <n v="79.400000000000006"/>
    <n v="7.94"/>
    <x v="1"/>
  </r>
  <r>
    <x v="15"/>
    <x v="0"/>
    <x v="2"/>
    <x v="1"/>
    <n v="66"/>
    <n v="75"/>
    <n v="89"/>
    <n v="57"/>
    <n v="70"/>
    <n v="60"/>
    <n v="351"/>
    <n v="70.199999999999989"/>
    <n v="7.02"/>
    <x v="1"/>
  </r>
  <r>
    <x v="16"/>
    <x v="1"/>
    <x v="1"/>
    <x v="7"/>
    <n v="78"/>
    <n v="92"/>
    <n v="87"/>
    <n v="87"/>
    <n v="75"/>
    <n v="65"/>
    <n v="406"/>
    <n v="81.2"/>
    <n v="8.120000000000001"/>
    <x v="1"/>
  </r>
  <r>
    <x v="17"/>
    <x v="1"/>
    <x v="4"/>
    <x v="1"/>
    <n v="82"/>
    <n v="64"/>
    <n v="59"/>
    <n v="93"/>
    <n v="70"/>
    <n v="60"/>
    <n v="346"/>
    <n v="69.199999999999989"/>
    <n v="6.92"/>
    <x v="0"/>
  </r>
  <r>
    <x v="18"/>
    <x v="1"/>
    <x v="2"/>
    <x v="6"/>
    <n v="77"/>
    <n v="89"/>
    <n v="59"/>
    <n v="99"/>
    <n v="84"/>
    <n v="76"/>
    <n v="407"/>
    <n v="81.399999999999991"/>
    <n v="8.1399999999999988"/>
    <x v="1"/>
  </r>
  <r>
    <x v="19"/>
    <x v="0"/>
    <x v="2"/>
    <x v="3"/>
    <n v="90"/>
    <n v="98"/>
    <n v="100"/>
    <n v="61"/>
    <n v="59"/>
    <n v="62"/>
    <n v="380"/>
    <n v="76"/>
    <n v="7.6"/>
    <x v="0"/>
  </r>
  <r>
    <x v="20"/>
    <x v="1"/>
    <x v="3"/>
    <x v="0"/>
    <n v="66"/>
    <n v="74"/>
    <n v="73"/>
    <n v="76"/>
    <n v="76"/>
    <n v="86"/>
    <n v="385"/>
    <n v="77"/>
    <n v="7.7"/>
    <x v="1"/>
  </r>
  <r>
    <x v="21"/>
    <x v="0"/>
    <x v="1"/>
    <x v="1"/>
    <n v="75"/>
    <n v="68"/>
    <n v="56"/>
    <n v="78"/>
    <n v="100"/>
    <n v="67"/>
    <n v="369"/>
    <n v="73.8"/>
    <n v="7.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1">
  <location ref="I9:J15" firstHeaderRow="1" firstDataRow="1" firstDataCol="1"/>
  <pivotFields count="14"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9">
        <item x="3"/>
        <item x="7"/>
        <item x="6"/>
        <item x="2"/>
        <item x="1"/>
        <item x="0"/>
        <item x="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ttendance_%" fld="4" baseField="0" baseItem="0"/>
  </dataFields>
  <pivotTableStyleInfo name="PivotStyleMedium10" showRowHeaders="1" showColHeaders="1" showLastColumn="1"/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A3:B26" firstHeaderRow="1" firstDataRow="1" firstDataCol="1"/>
  <pivotFields count="1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9">
        <item x="3"/>
        <item x="7"/>
        <item x="6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GPA" fld="12" baseField="0" baseItem="0"/>
  </dataFields>
  <pivotTableStyleInfo name="PivotStyleMedium3" showRowHeaders="1" showColHeaders="1" showLastColumn="1"/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P8:T31" firstHeaderRow="0" firstDataRow="1" firstDataCol="1"/>
  <pivotFields count="1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9">
        <item x="3"/>
        <item x="7"/>
        <item x="6"/>
        <item x="2"/>
        <item x="1"/>
        <item x="0"/>
        <item x="5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aths" fld="5" baseField="0" baseItem="0"/>
    <dataField name="Sum of Physics" fld="6" baseField="0" baseItem="0"/>
    <dataField name="Sum of Chemistry" fld="7" baseField="0" baseItem="0"/>
    <dataField name="Sum of Computer_Science" fld="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11" showRowHeaders="1" showColHeaders="1" showLastColumn="1"/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8">
  <location ref="G17:H20" firstHeaderRow="1" firstDataRow="1" firstDataCol="1"/>
  <pivotFields count="14">
    <pivotField dataFiel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9">
        <item x="3"/>
        <item x="7"/>
        <item x="6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tudent_ID" fld="0" baseField="0" baseItem="0"/>
  </dataFields>
  <pivotTableStyleInfo name="PivotStyleMedium10" showRowHeaders="1" showColHeaders="1" showLastColumn="1"/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D9:E13" firstHeaderRow="1" firstDataRow="1" firstDataCol="1"/>
  <pivotFields count="14">
    <pivotField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h="1" x="17"/>
        <item h="1" x="18"/>
        <item h="1" x="19"/>
        <item h="1" x="20"/>
        <item h="1" x="2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9">
        <item x="3"/>
        <item x="7"/>
        <item x="6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GPA" fld="12" baseField="0" baseItem="0"/>
  </dataFields>
  <pivotTableStyleInfo name="PivotStyleMedium10" showRowHeaders="1" showColHeaders="1" showLastColumn="1"/>
</pivotTableDefinition>
</file>

<file path=xl/tables/table1.xml><?xml version="1.0" encoding="utf-8"?>
<table xmlns="http://schemas.openxmlformats.org/spreadsheetml/2006/main" id="1" name="Table2" displayName="Table2" ref="P7:T12">
  <autoFilter xmlns:etc="http://www.wps.cn/officeDocument/2017/etCustomData" ref="P7:T12" etc:filterBottomFollowUsedRange="0"/>
  <tableColumns count="5">
    <tableColumn id="1" name="department"/>
    <tableColumn id="2" name="AVG GPA"/>
    <tableColumn id="3" name="AVG ATTENDENCE"/>
    <tableColumn id="4" name="OVERAL ATTENDANCE AVG" dataDxfId="6"/>
    <tableColumn id="5" name="OVERAL %" dataDxfId="7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L33:L34">
  <autoFilter xmlns:etc="http://www.wps.cn/officeDocument/2017/etCustomData" ref="L33:L34" etc:filterBottomFollowUsedRange="0"/>
  <tableColumns count="1">
    <tableColumn id="1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P14:P15">
  <autoFilter xmlns:etc="http://www.wps.cn/officeDocument/2017/etCustomData" ref="P14:P15" etc:filterBottomFollowUsedRange="0"/>
  <tableColumns count="1">
    <tableColumn id="1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1" displayName="Table1" ref="A1:N23">
  <autoFilter xmlns:etc="http://www.wps.cn/officeDocument/2017/etCustomData" ref="A1:N23" etc:filterBottomFollowUsedRange="0"/>
  <tableColumns count="14">
    <tableColumn id="1" name="Student_ID"/>
    <tableColumn id="2" name="Gender"/>
    <tableColumn id="3" name="Department"/>
    <tableColumn id="4" name="Semester"/>
    <tableColumn id="5" name="Attendance_%"/>
    <tableColumn id="6" name="Maths"/>
    <tableColumn id="7" name="Physics"/>
    <tableColumn id="8" name="Chemistry"/>
    <tableColumn id="9" name="Computer_Science"/>
    <tableColumn id="10" name="English"/>
    <tableColumn id="11" name="Total_Marks"/>
    <tableColumn id="12" name="Overall_%"/>
    <tableColumn id="13" name="GPA"/>
    <tableColumn id="14" name="Performance_Statu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C1" workbookViewId="0">
      <selection activeCell="I18" sqref="I18"/>
    </sheetView>
  </sheetViews>
  <sheetFormatPr defaultColWidth="10" defaultRowHeight="15" outlineLevelCol="1"/>
  <cols>
    <col min="1" max="1" width="12.5047619047619" customWidth="1"/>
    <col min="2" max="3" width="15.3333333333333" customWidth="1"/>
  </cols>
  <sheetData>
    <row r="3" spans="1:2">
      <c r="A3" s="1" t="s">
        <v>0</v>
      </c>
      <c r="B3" t="s">
        <v>1</v>
      </c>
    </row>
    <row r="4" spans="1:2">
      <c r="A4" s="2" t="s">
        <v>2</v>
      </c>
      <c r="B4">
        <v>8.12</v>
      </c>
    </row>
    <row r="5" spans="1:2">
      <c r="A5" s="2" t="s">
        <v>3</v>
      </c>
      <c r="B5">
        <v>7.44333333333333</v>
      </c>
    </row>
    <row r="6" spans="1:2">
      <c r="A6" s="2" t="s">
        <v>4</v>
      </c>
      <c r="B6">
        <v>7.405</v>
      </c>
    </row>
    <row r="7" spans="1:2">
      <c r="A7" s="2" t="s">
        <v>5</v>
      </c>
      <c r="B7">
        <v>7.40285714285714</v>
      </c>
    </row>
    <row r="8" spans="1:2">
      <c r="A8" s="2" t="s">
        <v>6</v>
      </c>
      <c r="B8">
        <v>8.17333333333333</v>
      </c>
    </row>
    <row r="9" spans="1:2">
      <c r="A9" s="2" t="s">
        <v>7</v>
      </c>
      <c r="B9">
        <v>38.5445238095238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31"/>
  <sheetViews>
    <sheetView zoomScale="31" zoomScaleNormal="31" topLeftCell="A124" workbookViewId="0">
      <selection activeCell="I181" sqref="I181"/>
    </sheetView>
  </sheetViews>
  <sheetFormatPr defaultColWidth="10" defaultRowHeight="15"/>
  <cols>
    <col min="1" max="1" width="13.1809523809524" customWidth="1"/>
    <col min="2" max="2" width="10.352380952381" customWidth="1"/>
    <col min="3" max="4" width="13.5904761904762" customWidth="1"/>
    <col min="5" max="5" width="11.0285714285714" customWidth="1"/>
    <col min="7" max="7" width="13.5904761904762" customWidth="1"/>
    <col min="8" max="8" width="17.752380952381" customWidth="1"/>
    <col min="9" max="9" width="13.5904761904762" customWidth="1"/>
    <col min="10" max="10" width="20.3142857142857" customWidth="1"/>
    <col min="16" max="16" width="13.5904761904762" customWidth="1"/>
    <col min="17" max="17" width="13.047619047619" customWidth="1"/>
    <col min="18" max="18" width="13.8571428571429" customWidth="1"/>
    <col min="19" max="19" width="16.2761904761905" customWidth="1"/>
    <col min="20" max="20" width="23.8095238095238" customWidth="1"/>
  </cols>
  <sheetData>
    <row r="3" spans="1:2">
      <c r="A3" s="1" t="s">
        <v>0</v>
      </c>
      <c r="B3" t="s">
        <v>8</v>
      </c>
    </row>
    <row r="4" spans="1:2">
      <c r="A4" s="2">
        <v>1</v>
      </c>
      <c r="B4">
        <v>8.72</v>
      </c>
    </row>
    <row r="5" spans="1:2">
      <c r="A5" s="2">
        <v>2</v>
      </c>
      <c r="B5">
        <v>6.34</v>
      </c>
    </row>
    <row r="6" spans="1:2">
      <c r="A6" s="2">
        <v>3</v>
      </c>
      <c r="B6">
        <v>7.14</v>
      </c>
    </row>
    <row r="7" spans="1:2">
      <c r="A7" s="2">
        <v>4</v>
      </c>
      <c r="B7">
        <v>8.22</v>
      </c>
    </row>
    <row r="8" spans="1:20">
      <c r="A8" s="2">
        <v>5</v>
      </c>
      <c r="B8">
        <v>6.48</v>
      </c>
      <c r="O8" s="3"/>
      <c r="P8" s="3" t="s">
        <v>0</v>
      </c>
      <c r="Q8" s="3" t="s">
        <v>9</v>
      </c>
      <c r="R8" s="3" t="s">
        <v>10</v>
      </c>
      <c r="S8" s="3" t="s">
        <v>11</v>
      </c>
      <c r="T8" s="3" t="s">
        <v>12</v>
      </c>
    </row>
    <row r="9" spans="1:20">
      <c r="A9" s="2">
        <v>6</v>
      </c>
      <c r="B9">
        <v>7.18</v>
      </c>
      <c r="D9" s="1" t="s">
        <v>0</v>
      </c>
      <c r="E9" t="s">
        <v>8</v>
      </c>
      <c r="I9" s="1" t="s">
        <v>0</v>
      </c>
      <c r="J9" t="s">
        <v>13</v>
      </c>
      <c r="O9" s="3"/>
      <c r="P9" s="4">
        <v>1</v>
      </c>
      <c r="Q9" s="3">
        <v>99</v>
      </c>
      <c r="R9" s="3">
        <v>66</v>
      </c>
      <c r="S9" s="3">
        <v>86</v>
      </c>
      <c r="T9" s="3">
        <v>95</v>
      </c>
    </row>
    <row r="10" spans="1:20">
      <c r="A10" s="2">
        <v>7</v>
      </c>
      <c r="B10">
        <v>7.64</v>
      </c>
      <c r="D10" s="2" t="s">
        <v>3</v>
      </c>
      <c r="E10">
        <v>8.12</v>
      </c>
      <c r="I10" s="2" t="s">
        <v>14</v>
      </c>
      <c r="J10">
        <v>82</v>
      </c>
      <c r="O10" s="3"/>
      <c r="P10" s="4">
        <v>2</v>
      </c>
      <c r="Q10" s="3">
        <v>76</v>
      </c>
      <c r="R10" s="3">
        <v>51</v>
      </c>
      <c r="S10" s="3">
        <v>53</v>
      </c>
      <c r="T10" s="3">
        <v>67</v>
      </c>
    </row>
    <row r="11" spans="1:20">
      <c r="A11" s="2">
        <v>8</v>
      </c>
      <c r="B11">
        <v>8.18</v>
      </c>
      <c r="D11" s="2" t="s">
        <v>4</v>
      </c>
      <c r="E11">
        <v>7.94</v>
      </c>
      <c r="I11" s="2" t="s">
        <v>3</v>
      </c>
      <c r="J11">
        <v>507</v>
      </c>
      <c r="O11" s="3"/>
      <c r="P11" s="4">
        <v>3</v>
      </c>
      <c r="Q11" s="3">
        <v>88</v>
      </c>
      <c r="R11" s="3">
        <v>79</v>
      </c>
      <c r="S11" s="3">
        <v>57</v>
      </c>
      <c r="T11" s="3">
        <v>76</v>
      </c>
    </row>
    <row r="12" spans="1:20">
      <c r="A12" s="2">
        <v>9</v>
      </c>
      <c r="B12">
        <v>7.3</v>
      </c>
      <c r="D12" s="2" t="s">
        <v>5</v>
      </c>
      <c r="E12">
        <v>7.02</v>
      </c>
      <c r="I12" s="2" t="s">
        <v>4</v>
      </c>
      <c r="J12">
        <v>345</v>
      </c>
      <c r="O12" s="3"/>
      <c r="P12" s="4">
        <v>4</v>
      </c>
      <c r="Q12" s="3">
        <v>73</v>
      </c>
      <c r="R12" s="3">
        <v>85</v>
      </c>
      <c r="S12" s="3">
        <v>92</v>
      </c>
      <c r="T12" s="3">
        <v>64</v>
      </c>
    </row>
    <row r="13" spans="1:20">
      <c r="A13" s="2">
        <v>10</v>
      </c>
      <c r="B13">
        <v>8.62</v>
      </c>
      <c r="D13" s="2" t="s">
        <v>7</v>
      </c>
      <c r="E13">
        <v>23.08</v>
      </c>
      <c r="I13" s="2" t="s">
        <v>5</v>
      </c>
      <c r="J13">
        <v>547</v>
      </c>
      <c r="O13" s="3"/>
      <c r="P13" s="4">
        <v>5</v>
      </c>
      <c r="Q13" s="3">
        <v>61</v>
      </c>
      <c r="R13" s="3">
        <v>54</v>
      </c>
      <c r="S13" s="3">
        <v>79</v>
      </c>
      <c r="T13" s="3">
        <v>62</v>
      </c>
    </row>
    <row r="14" spans="1:20">
      <c r="A14" s="2">
        <v>11</v>
      </c>
      <c r="B14">
        <v>6.34</v>
      </c>
      <c r="I14" s="2" t="s">
        <v>15</v>
      </c>
      <c r="J14">
        <v>349</v>
      </c>
      <c r="O14" s="3"/>
      <c r="P14" s="4">
        <v>6</v>
      </c>
      <c r="Q14" s="3">
        <v>89</v>
      </c>
      <c r="R14" s="3">
        <v>52</v>
      </c>
      <c r="S14" s="3">
        <v>53</v>
      </c>
      <c r="T14" s="3">
        <v>69</v>
      </c>
    </row>
    <row r="15" spans="1:20">
      <c r="A15" s="2">
        <v>12</v>
      </c>
      <c r="B15">
        <v>7.78</v>
      </c>
      <c r="I15" s="2" t="s">
        <v>7</v>
      </c>
      <c r="J15">
        <v>1830</v>
      </c>
      <c r="O15" s="3"/>
      <c r="P15" s="4">
        <v>7</v>
      </c>
      <c r="Q15" s="3">
        <v>88</v>
      </c>
      <c r="R15" s="3">
        <v>53</v>
      </c>
      <c r="S15" s="3">
        <v>66</v>
      </c>
      <c r="T15" s="3">
        <v>77</v>
      </c>
    </row>
    <row r="16" spans="1:20">
      <c r="A16" s="2">
        <v>13</v>
      </c>
      <c r="B16">
        <v>7.9</v>
      </c>
      <c r="O16" s="3"/>
      <c r="P16" s="4">
        <v>8</v>
      </c>
      <c r="Q16" s="3">
        <v>89</v>
      </c>
      <c r="R16" s="3">
        <v>98</v>
      </c>
      <c r="S16" s="3">
        <v>58</v>
      </c>
      <c r="T16" s="3">
        <v>85</v>
      </c>
    </row>
    <row r="17" spans="1:20">
      <c r="A17" s="2">
        <v>14</v>
      </c>
      <c r="B17">
        <v>7.46</v>
      </c>
      <c r="G17" s="1" t="s">
        <v>0</v>
      </c>
      <c r="H17" t="s">
        <v>16</v>
      </c>
      <c r="O17" s="3"/>
      <c r="P17" s="4">
        <v>9</v>
      </c>
      <c r="Q17" s="3">
        <v>75</v>
      </c>
      <c r="R17" s="3">
        <v>84</v>
      </c>
      <c r="S17" s="3">
        <v>87</v>
      </c>
      <c r="T17" s="3">
        <v>52</v>
      </c>
    </row>
    <row r="18" spans="1:20">
      <c r="A18" s="2">
        <v>15</v>
      </c>
      <c r="B18">
        <v>7.94</v>
      </c>
      <c r="G18" s="2" t="s">
        <v>17</v>
      </c>
      <c r="H18">
        <v>92</v>
      </c>
      <c r="O18" s="3"/>
      <c r="P18" s="4">
        <v>10</v>
      </c>
      <c r="Q18" s="3">
        <v>100</v>
      </c>
      <c r="R18" s="3">
        <v>70</v>
      </c>
      <c r="S18" s="3">
        <v>87</v>
      </c>
      <c r="T18" s="3">
        <v>95</v>
      </c>
    </row>
    <row r="19" spans="1:20">
      <c r="A19" s="2">
        <v>16</v>
      </c>
      <c r="B19">
        <v>7.02</v>
      </c>
      <c r="G19" s="2" t="s">
        <v>18</v>
      </c>
      <c r="H19">
        <v>161</v>
      </c>
      <c r="O19" s="3"/>
      <c r="P19" s="4">
        <v>11</v>
      </c>
      <c r="Q19" s="3">
        <v>56</v>
      </c>
      <c r="R19" s="3">
        <v>51</v>
      </c>
      <c r="S19" s="3">
        <v>50</v>
      </c>
      <c r="T19" s="3">
        <v>67</v>
      </c>
    </row>
    <row r="20" spans="1:20">
      <c r="A20" s="2">
        <v>17</v>
      </c>
      <c r="B20">
        <v>8.12</v>
      </c>
      <c r="G20" s="2" t="s">
        <v>7</v>
      </c>
      <c r="H20">
        <v>253</v>
      </c>
      <c r="O20" s="3"/>
      <c r="P20" s="4">
        <v>12</v>
      </c>
      <c r="Q20" s="3">
        <v>100</v>
      </c>
      <c r="R20" s="3">
        <v>74</v>
      </c>
      <c r="S20" s="3">
        <v>76</v>
      </c>
      <c r="T20" s="3">
        <v>89</v>
      </c>
    </row>
    <row r="21" spans="1:20">
      <c r="A21" s="2">
        <v>18</v>
      </c>
      <c r="B21">
        <v>6.92</v>
      </c>
      <c r="O21" s="3"/>
      <c r="P21" s="4">
        <v>13</v>
      </c>
      <c r="Q21" s="3">
        <v>56</v>
      </c>
      <c r="R21" s="3">
        <v>98</v>
      </c>
      <c r="S21" s="3">
        <v>86</v>
      </c>
      <c r="T21" s="3">
        <v>96</v>
      </c>
    </row>
    <row r="22" spans="1:20">
      <c r="A22" s="2">
        <v>19</v>
      </c>
      <c r="B22">
        <v>8.14</v>
      </c>
      <c r="O22" s="3"/>
      <c r="P22" s="4">
        <v>14</v>
      </c>
      <c r="Q22" s="3">
        <v>96</v>
      </c>
      <c r="R22" s="3">
        <v>59</v>
      </c>
      <c r="S22" s="3">
        <v>79</v>
      </c>
      <c r="T22" s="3">
        <v>64</v>
      </c>
    </row>
    <row r="23" spans="1:20">
      <c r="A23" s="2">
        <v>20</v>
      </c>
      <c r="B23">
        <v>7.6</v>
      </c>
      <c r="O23" s="3"/>
      <c r="P23" s="4">
        <v>15</v>
      </c>
      <c r="Q23" s="3">
        <v>75</v>
      </c>
      <c r="R23" s="3">
        <v>62</v>
      </c>
      <c r="S23" s="3">
        <v>74</v>
      </c>
      <c r="T23" s="3">
        <v>91</v>
      </c>
    </row>
    <row r="24" spans="1:20">
      <c r="A24" s="2">
        <v>21</v>
      </c>
      <c r="B24">
        <v>7.7</v>
      </c>
      <c r="O24" s="3"/>
      <c r="P24" s="4">
        <v>16</v>
      </c>
      <c r="Q24" s="3">
        <v>75</v>
      </c>
      <c r="R24" s="3">
        <v>89</v>
      </c>
      <c r="S24" s="3">
        <v>57</v>
      </c>
      <c r="T24" s="3">
        <v>70</v>
      </c>
    </row>
    <row r="25" spans="1:20">
      <c r="A25" s="2">
        <v>22</v>
      </c>
      <c r="B25">
        <v>7.38</v>
      </c>
      <c r="O25" s="3"/>
      <c r="P25" s="4">
        <v>17</v>
      </c>
      <c r="Q25" s="3">
        <v>92</v>
      </c>
      <c r="R25" s="3">
        <v>87</v>
      </c>
      <c r="S25" s="3">
        <v>87</v>
      </c>
      <c r="T25" s="3">
        <v>75</v>
      </c>
    </row>
    <row r="26" spans="1:20">
      <c r="A26" s="2" t="s">
        <v>7</v>
      </c>
      <c r="B26">
        <v>166.12</v>
      </c>
      <c r="O26" s="3"/>
      <c r="P26" s="4">
        <v>18</v>
      </c>
      <c r="Q26" s="3">
        <v>64</v>
      </c>
      <c r="R26" s="3">
        <v>59</v>
      </c>
      <c r="S26" s="3">
        <v>93</v>
      </c>
      <c r="T26" s="3">
        <v>70</v>
      </c>
    </row>
    <row r="27" spans="15:20">
      <c r="O27" s="3"/>
      <c r="P27" s="4">
        <v>19</v>
      </c>
      <c r="Q27" s="3">
        <v>89</v>
      </c>
      <c r="R27" s="3">
        <v>59</v>
      </c>
      <c r="S27" s="3">
        <v>99</v>
      </c>
      <c r="T27" s="3">
        <v>84</v>
      </c>
    </row>
    <row r="28" spans="15:20">
      <c r="O28" s="3"/>
      <c r="P28" s="4">
        <v>20</v>
      </c>
      <c r="Q28" s="3">
        <v>98</v>
      </c>
      <c r="R28" s="3">
        <v>100</v>
      </c>
      <c r="S28" s="3">
        <v>61</v>
      </c>
      <c r="T28" s="3">
        <v>59</v>
      </c>
    </row>
    <row r="29" spans="15:20">
      <c r="O29" s="3"/>
      <c r="P29" s="4">
        <v>21</v>
      </c>
      <c r="Q29" s="3">
        <v>74</v>
      </c>
      <c r="R29" s="3">
        <v>73</v>
      </c>
      <c r="S29" s="3">
        <v>76</v>
      </c>
      <c r="T29" s="3">
        <v>76</v>
      </c>
    </row>
    <row r="30" spans="15:20">
      <c r="O30" s="3"/>
      <c r="P30" s="4">
        <v>22</v>
      </c>
      <c r="Q30" s="3">
        <v>68</v>
      </c>
      <c r="R30" s="3">
        <v>56</v>
      </c>
      <c r="S30" s="3">
        <v>78</v>
      </c>
      <c r="T30" s="3">
        <v>100</v>
      </c>
    </row>
    <row r="31" spans="15:20">
      <c r="O31" s="3"/>
      <c r="P31" s="4" t="s">
        <v>7</v>
      </c>
      <c r="Q31" s="3">
        <v>1781</v>
      </c>
      <c r="R31" s="3">
        <v>1559</v>
      </c>
      <c r="S31" s="3">
        <v>1634</v>
      </c>
      <c r="T31" s="3">
        <v>1683</v>
      </c>
    </row>
  </sheetData>
  <pageMargins left="0.7" right="0.7" top="0.75" bottom="0.75" header="0.3" footer="0.3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3"/>
  <sheetViews>
    <sheetView tabSelected="1" zoomScale="30" zoomScaleNormal="30" topLeftCell="A8" workbookViewId="0">
      <selection activeCell="Z25" sqref="Z25"/>
    </sheetView>
  </sheetViews>
  <sheetFormatPr defaultColWidth="10" defaultRowHeight="15"/>
  <sheetData>
    <row r="53" ht="16.1" customHeight="1"/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zoomScale="75" zoomScaleNormal="75" workbookViewId="0">
      <selection activeCell="R2" sqref="R2"/>
    </sheetView>
  </sheetViews>
  <sheetFormatPr defaultColWidth="10" defaultRowHeight="15"/>
  <cols>
    <col min="1" max="1" width="12.2380952380952" customWidth="1"/>
    <col min="2" max="2" width="9.00952380952381" customWidth="1"/>
    <col min="3" max="3" width="13.047619047619" customWidth="1"/>
    <col min="4" max="4" width="10.7619047619048" customWidth="1"/>
    <col min="5" max="5" width="15.2" customWidth="1"/>
    <col min="7" max="7" width="9.00952380952381" customWidth="1"/>
    <col min="8" max="8" width="11.2952380952381" customWidth="1"/>
    <col min="9" max="9" width="18.6952380952381" customWidth="1"/>
    <col min="11" max="11" width="13.3142857142857" customWidth="1"/>
    <col min="12" max="12" width="11.2952380952381" customWidth="1"/>
    <col min="13" max="13" width="12.1047619047619" customWidth="1"/>
    <col min="14" max="14" width="20.047619047619" customWidth="1"/>
    <col min="16" max="16" width="13.447619047619" customWidth="1"/>
    <col min="17" max="17" width="10.7619047619048" customWidth="1"/>
    <col min="18" max="18" width="18.5619047619048" customWidth="1"/>
    <col min="19" max="19" width="18.2952380952381" customWidth="1"/>
    <col min="20" max="20" width="11.7047619047619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>
        <v>1</v>
      </c>
      <c r="B2" t="s">
        <v>18</v>
      </c>
      <c r="C2" t="s">
        <v>15</v>
      </c>
      <c r="D2">
        <v>6</v>
      </c>
      <c r="E2">
        <v>88</v>
      </c>
      <c r="F2">
        <v>99</v>
      </c>
      <c r="G2">
        <v>66</v>
      </c>
      <c r="H2">
        <v>86</v>
      </c>
      <c r="I2">
        <v>95</v>
      </c>
      <c r="J2">
        <v>90</v>
      </c>
      <c r="K2">
        <f>SUM(F2:J2)</f>
        <v>436</v>
      </c>
      <c r="L2">
        <f>(K2/500)*100</f>
        <v>87.2</v>
      </c>
      <c r="M2">
        <f>(K2/500)*10</f>
        <v>8.72</v>
      </c>
      <c r="N2" t="str">
        <f>IF(Student_Data!O27,"excellent","average")</f>
        <v>average</v>
      </c>
    </row>
    <row r="3" spans="1:14">
      <c r="A3">
        <v>2</v>
      </c>
      <c r="B3" t="s">
        <v>18</v>
      </c>
      <c r="C3" t="s">
        <v>15</v>
      </c>
      <c r="D3">
        <v>5</v>
      </c>
      <c r="E3">
        <v>87</v>
      </c>
      <c r="F3">
        <v>76</v>
      </c>
      <c r="G3">
        <v>51</v>
      </c>
      <c r="H3">
        <v>53</v>
      </c>
      <c r="I3">
        <v>67</v>
      </c>
      <c r="J3">
        <v>70</v>
      </c>
      <c r="K3">
        <f t="shared" ref="K3:K23" si="0">SUM(F3:J3)</f>
        <v>317</v>
      </c>
      <c r="L3">
        <f t="shared" ref="L3:L23" si="1">(K3/500)*100</f>
        <v>63.4</v>
      </c>
      <c r="M3">
        <f t="shared" ref="M3:M23" si="2">(K3/500)*10</f>
        <v>6.34</v>
      </c>
      <c r="N3" t="str">
        <f t="shared" ref="N3:N23" si="3">IF(M2&gt;8,"excellent","average")</f>
        <v>excellent</v>
      </c>
    </row>
    <row r="4" spans="1:14">
      <c r="A4">
        <v>3</v>
      </c>
      <c r="B4" t="s">
        <v>17</v>
      </c>
      <c r="C4" t="s">
        <v>3</v>
      </c>
      <c r="D4">
        <v>4</v>
      </c>
      <c r="E4">
        <v>97</v>
      </c>
      <c r="F4">
        <v>88</v>
      </c>
      <c r="G4">
        <v>79</v>
      </c>
      <c r="H4">
        <v>57</v>
      </c>
      <c r="I4">
        <v>76</v>
      </c>
      <c r="J4">
        <v>57</v>
      </c>
      <c r="K4">
        <f t="shared" si="0"/>
        <v>357</v>
      </c>
      <c r="L4">
        <f t="shared" si="1"/>
        <v>71.4</v>
      </c>
      <c r="M4">
        <f t="shared" si="2"/>
        <v>7.14</v>
      </c>
      <c r="N4" t="str">
        <f t="shared" si="3"/>
        <v>average</v>
      </c>
    </row>
    <row r="5" spans="1:14">
      <c r="A5">
        <v>4</v>
      </c>
      <c r="B5" t="s">
        <v>18</v>
      </c>
      <c r="C5" t="s">
        <v>5</v>
      </c>
      <c r="D5">
        <v>1</v>
      </c>
      <c r="E5">
        <v>79</v>
      </c>
      <c r="F5">
        <v>73</v>
      </c>
      <c r="G5">
        <v>85</v>
      </c>
      <c r="H5">
        <v>92</v>
      </c>
      <c r="I5">
        <v>64</v>
      </c>
      <c r="J5">
        <v>97</v>
      </c>
      <c r="K5">
        <f t="shared" si="0"/>
        <v>411</v>
      </c>
      <c r="L5">
        <f t="shared" si="1"/>
        <v>82.2</v>
      </c>
      <c r="M5">
        <f t="shared" si="2"/>
        <v>8.22</v>
      </c>
      <c r="N5" t="str">
        <f t="shared" si="3"/>
        <v>average</v>
      </c>
    </row>
    <row r="6" spans="1:14">
      <c r="A6">
        <v>5</v>
      </c>
      <c r="B6" t="s">
        <v>17</v>
      </c>
      <c r="C6" t="s">
        <v>4</v>
      </c>
      <c r="D6">
        <v>1</v>
      </c>
      <c r="E6">
        <v>98</v>
      </c>
      <c r="F6">
        <v>61</v>
      </c>
      <c r="G6">
        <v>54</v>
      </c>
      <c r="H6">
        <v>79</v>
      </c>
      <c r="I6">
        <v>62</v>
      </c>
      <c r="J6">
        <v>68</v>
      </c>
      <c r="K6">
        <f t="shared" si="0"/>
        <v>324</v>
      </c>
      <c r="L6">
        <f t="shared" si="1"/>
        <v>64.8</v>
      </c>
      <c r="M6">
        <f t="shared" si="2"/>
        <v>6.48</v>
      </c>
      <c r="N6" t="str">
        <f t="shared" si="3"/>
        <v>excellent</v>
      </c>
    </row>
    <row r="7" spans="1:20">
      <c r="A7">
        <v>6</v>
      </c>
      <c r="B7" t="s">
        <v>18</v>
      </c>
      <c r="C7" t="s">
        <v>5</v>
      </c>
      <c r="D7">
        <v>8</v>
      </c>
      <c r="E7">
        <v>81</v>
      </c>
      <c r="F7">
        <v>89</v>
      </c>
      <c r="G7">
        <v>52</v>
      </c>
      <c r="H7">
        <v>53</v>
      </c>
      <c r="I7">
        <v>69</v>
      </c>
      <c r="J7">
        <v>96</v>
      </c>
      <c r="K7">
        <f t="shared" si="0"/>
        <v>359</v>
      </c>
      <c r="L7">
        <f t="shared" si="1"/>
        <v>71.8</v>
      </c>
      <c r="M7">
        <f t="shared" si="2"/>
        <v>7.18</v>
      </c>
      <c r="N7" t="str">
        <f t="shared" si="3"/>
        <v>average</v>
      </c>
      <c r="P7" t="s">
        <v>33</v>
      </c>
      <c r="Q7" t="s">
        <v>34</v>
      </c>
      <c r="R7" t="s">
        <v>35</v>
      </c>
      <c r="S7" t="s">
        <v>36</v>
      </c>
      <c r="T7" t="s">
        <v>37</v>
      </c>
    </row>
    <row r="8" spans="1:20">
      <c r="A8">
        <v>7</v>
      </c>
      <c r="B8" t="s">
        <v>18</v>
      </c>
      <c r="C8" t="s">
        <v>15</v>
      </c>
      <c r="D8">
        <v>7</v>
      </c>
      <c r="E8">
        <v>81</v>
      </c>
      <c r="F8">
        <v>88</v>
      </c>
      <c r="G8">
        <v>53</v>
      </c>
      <c r="H8">
        <v>66</v>
      </c>
      <c r="I8">
        <v>77</v>
      </c>
      <c r="J8">
        <v>98</v>
      </c>
      <c r="K8">
        <f t="shared" si="0"/>
        <v>382</v>
      </c>
      <c r="L8">
        <f t="shared" si="1"/>
        <v>76.4</v>
      </c>
      <c r="M8">
        <f t="shared" si="2"/>
        <v>7.64</v>
      </c>
      <c r="N8" t="str">
        <f t="shared" si="3"/>
        <v>average</v>
      </c>
      <c r="P8" t="s">
        <v>4</v>
      </c>
      <c r="Q8">
        <f>AVERAGEIF(C2:C23,"ECE",M1:M23)</f>
        <v>7.405</v>
      </c>
      <c r="R8">
        <v>85.5</v>
      </c>
      <c r="S8">
        <v>83.1818181818182</v>
      </c>
      <c r="T8">
        <v>75.5090909090909</v>
      </c>
    </row>
    <row r="9" spans="1:20">
      <c r="A9">
        <v>8</v>
      </c>
      <c r="B9" t="s">
        <v>18</v>
      </c>
      <c r="C9" t="s">
        <v>3</v>
      </c>
      <c r="D9">
        <v>6</v>
      </c>
      <c r="E9">
        <v>93</v>
      </c>
      <c r="F9">
        <v>89</v>
      </c>
      <c r="G9">
        <v>98</v>
      </c>
      <c r="H9">
        <v>58</v>
      </c>
      <c r="I9">
        <v>85</v>
      </c>
      <c r="J9">
        <v>79</v>
      </c>
      <c r="K9">
        <f t="shared" si="0"/>
        <v>409</v>
      </c>
      <c r="L9">
        <f t="shared" si="1"/>
        <v>81.8</v>
      </c>
      <c r="M9">
        <f t="shared" si="2"/>
        <v>8.18</v>
      </c>
      <c r="N9" t="str">
        <f t="shared" si="3"/>
        <v>average</v>
      </c>
      <c r="P9" t="s">
        <v>3</v>
      </c>
      <c r="Q9">
        <f>AVERAGEIF(C2:C23,"CSE",M1:M23)</f>
        <v>7.44333333333333</v>
      </c>
      <c r="R9">
        <v>84.5</v>
      </c>
      <c r="S9">
        <v>83.1818181818182</v>
      </c>
      <c r="T9">
        <v>75.5090909090909</v>
      </c>
    </row>
    <row r="10" spans="1:20">
      <c r="A10">
        <v>9</v>
      </c>
      <c r="B10" t="s">
        <v>17</v>
      </c>
      <c r="C10" t="s">
        <v>3</v>
      </c>
      <c r="D10">
        <v>1</v>
      </c>
      <c r="E10">
        <v>67</v>
      </c>
      <c r="F10">
        <v>75</v>
      </c>
      <c r="G10">
        <v>84</v>
      </c>
      <c r="H10">
        <v>87</v>
      </c>
      <c r="I10">
        <v>52</v>
      </c>
      <c r="J10">
        <v>67</v>
      </c>
      <c r="K10">
        <f t="shared" si="0"/>
        <v>365</v>
      </c>
      <c r="L10">
        <f t="shared" si="1"/>
        <v>73</v>
      </c>
      <c r="M10">
        <f t="shared" si="2"/>
        <v>7.3</v>
      </c>
      <c r="N10" t="str">
        <f t="shared" si="3"/>
        <v>excellent</v>
      </c>
      <c r="P10" t="s">
        <v>6</v>
      </c>
      <c r="Q10">
        <f>AVERAGEIF(C2:C23,"MECHANICAL",M1:M23)</f>
        <v>8.17333333333333</v>
      </c>
      <c r="R10">
        <v>81</v>
      </c>
      <c r="S10">
        <v>83.1818181818182</v>
      </c>
      <c r="T10">
        <v>75.5090909090909</v>
      </c>
    </row>
    <row r="11" spans="1:20">
      <c r="A11">
        <v>10</v>
      </c>
      <c r="B11" t="s">
        <v>18</v>
      </c>
      <c r="C11" t="s">
        <v>5</v>
      </c>
      <c r="D11">
        <v>4</v>
      </c>
      <c r="E11">
        <v>74</v>
      </c>
      <c r="F11">
        <v>100</v>
      </c>
      <c r="G11">
        <v>70</v>
      </c>
      <c r="H11">
        <v>87</v>
      </c>
      <c r="I11">
        <v>95</v>
      </c>
      <c r="J11">
        <v>79</v>
      </c>
      <c r="K11">
        <f t="shared" si="0"/>
        <v>431</v>
      </c>
      <c r="L11">
        <f t="shared" si="1"/>
        <v>86.2</v>
      </c>
      <c r="M11">
        <f t="shared" si="2"/>
        <v>8.62</v>
      </c>
      <c r="N11" t="str">
        <f t="shared" si="3"/>
        <v>average</v>
      </c>
      <c r="P11" t="s">
        <v>5</v>
      </c>
      <c r="Q11">
        <f>AVERAGEIF(C2:C23,"EEE",M1:M23)</f>
        <v>7.40285714285714</v>
      </c>
      <c r="R11">
        <v>78.1428571428571</v>
      </c>
      <c r="S11">
        <v>83.1818181818182</v>
      </c>
      <c r="T11">
        <v>75.5090909090909</v>
      </c>
    </row>
    <row r="12" spans="1:20">
      <c r="A12">
        <v>11</v>
      </c>
      <c r="B12" t="s">
        <v>18</v>
      </c>
      <c r="C12" t="s">
        <v>15</v>
      </c>
      <c r="D12">
        <v>8</v>
      </c>
      <c r="E12">
        <v>93</v>
      </c>
      <c r="F12">
        <v>56</v>
      </c>
      <c r="G12">
        <v>51</v>
      </c>
      <c r="H12">
        <v>50</v>
      </c>
      <c r="I12">
        <v>67</v>
      </c>
      <c r="J12">
        <v>93</v>
      </c>
      <c r="K12">
        <f t="shared" si="0"/>
        <v>317</v>
      </c>
      <c r="L12">
        <f t="shared" si="1"/>
        <v>63.4</v>
      </c>
      <c r="M12">
        <f t="shared" si="2"/>
        <v>6.34</v>
      </c>
      <c r="N12" t="str">
        <f t="shared" si="3"/>
        <v>excellent</v>
      </c>
      <c r="P12" t="s">
        <v>2</v>
      </c>
      <c r="Q12">
        <f>AVERAGEIF(C2:C23,"CIVIL",M1:M23)</f>
        <v>8.12</v>
      </c>
      <c r="R12">
        <v>78</v>
      </c>
      <c r="S12">
        <v>83.1818181818182</v>
      </c>
      <c r="T12">
        <v>75.5090909090909</v>
      </c>
    </row>
    <row r="13" spans="1:14">
      <c r="A13">
        <v>12</v>
      </c>
      <c r="B13" t="s">
        <v>18</v>
      </c>
      <c r="C13" t="s">
        <v>4</v>
      </c>
      <c r="D13">
        <v>1</v>
      </c>
      <c r="E13">
        <v>93</v>
      </c>
      <c r="F13">
        <v>100</v>
      </c>
      <c r="G13">
        <v>74</v>
      </c>
      <c r="H13">
        <v>76</v>
      </c>
      <c r="I13">
        <v>89</v>
      </c>
      <c r="J13">
        <v>50</v>
      </c>
      <c r="K13">
        <f t="shared" si="0"/>
        <v>389</v>
      </c>
      <c r="L13">
        <f t="shared" si="1"/>
        <v>77.8</v>
      </c>
      <c r="M13">
        <f t="shared" si="2"/>
        <v>7.78</v>
      </c>
      <c r="N13" t="str">
        <f t="shared" si="3"/>
        <v>average</v>
      </c>
    </row>
    <row r="14" spans="1:16">
      <c r="A14">
        <v>13</v>
      </c>
      <c r="B14" t="s">
        <v>18</v>
      </c>
      <c r="C14" t="s">
        <v>3</v>
      </c>
      <c r="D14">
        <v>3</v>
      </c>
      <c r="E14">
        <v>97</v>
      </c>
      <c r="F14">
        <v>56</v>
      </c>
      <c r="G14">
        <v>98</v>
      </c>
      <c r="H14">
        <v>86</v>
      </c>
      <c r="I14">
        <v>96</v>
      </c>
      <c r="J14">
        <v>59</v>
      </c>
      <c r="K14">
        <f t="shared" si="0"/>
        <v>395</v>
      </c>
      <c r="L14">
        <f t="shared" si="1"/>
        <v>79</v>
      </c>
      <c r="M14">
        <f t="shared" si="2"/>
        <v>7.9</v>
      </c>
      <c r="N14" t="str">
        <f t="shared" si="3"/>
        <v>average</v>
      </c>
      <c r="P14" t="s">
        <v>38</v>
      </c>
    </row>
    <row r="15" spans="1:14">
      <c r="A15">
        <v>14</v>
      </c>
      <c r="B15" t="s">
        <v>18</v>
      </c>
      <c r="C15" t="s">
        <v>5</v>
      </c>
      <c r="D15">
        <v>8</v>
      </c>
      <c r="E15">
        <v>80</v>
      </c>
      <c r="F15">
        <v>96</v>
      </c>
      <c r="G15">
        <v>59</v>
      </c>
      <c r="H15">
        <v>79</v>
      </c>
      <c r="I15">
        <v>64</v>
      </c>
      <c r="J15">
        <v>75</v>
      </c>
      <c r="K15">
        <f t="shared" si="0"/>
        <v>373</v>
      </c>
      <c r="L15">
        <f t="shared" si="1"/>
        <v>74.6</v>
      </c>
      <c r="M15">
        <f t="shared" si="2"/>
        <v>7.46</v>
      </c>
      <c r="N15" t="str">
        <f t="shared" si="3"/>
        <v>average</v>
      </c>
    </row>
    <row r="16" spans="1:14">
      <c r="A16">
        <v>15</v>
      </c>
      <c r="B16" t="s">
        <v>18</v>
      </c>
      <c r="C16" t="s">
        <v>4</v>
      </c>
      <c r="D16">
        <v>7</v>
      </c>
      <c r="E16">
        <v>88</v>
      </c>
      <c r="F16">
        <v>75</v>
      </c>
      <c r="G16">
        <v>62</v>
      </c>
      <c r="H16">
        <v>74</v>
      </c>
      <c r="I16">
        <v>91</v>
      </c>
      <c r="J16">
        <v>95</v>
      </c>
      <c r="K16">
        <f t="shared" si="0"/>
        <v>397</v>
      </c>
      <c r="L16">
        <f t="shared" si="1"/>
        <v>79.4</v>
      </c>
      <c r="M16">
        <f t="shared" si="2"/>
        <v>7.94</v>
      </c>
      <c r="N16" t="str">
        <f t="shared" si="3"/>
        <v>average</v>
      </c>
    </row>
    <row r="17" spans="1:14">
      <c r="A17">
        <v>16</v>
      </c>
      <c r="B17" t="s">
        <v>18</v>
      </c>
      <c r="C17" t="s">
        <v>5</v>
      </c>
      <c r="D17">
        <v>5</v>
      </c>
      <c r="E17">
        <v>66</v>
      </c>
      <c r="F17">
        <v>75</v>
      </c>
      <c r="G17">
        <v>89</v>
      </c>
      <c r="H17">
        <v>57</v>
      </c>
      <c r="I17">
        <v>70</v>
      </c>
      <c r="J17">
        <v>60</v>
      </c>
      <c r="K17">
        <f t="shared" si="0"/>
        <v>351</v>
      </c>
      <c r="L17">
        <f t="shared" si="1"/>
        <v>70.2</v>
      </c>
      <c r="M17">
        <f t="shared" si="2"/>
        <v>7.02</v>
      </c>
      <c r="N17" t="str">
        <f t="shared" si="3"/>
        <v>average</v>
      </c>
    </row>
    <row r="18" spans="1:14">
      <c r="A18">
        <v>17</v>
      </c>
      <c r="B18" t="s">
        <v>17</v>
      </c>
      <c r="C18" t="s">
        <v>3</v>
      </c>
      <c r="D18">
        <v>2</v>
      </c>
      <c r="E18">
        <v>78</v>
      </c>
      <c r="F18">
        <v>92</v>
      </c>
      <c r="G18">
        <v>87</v>
      </c>
      <c r="H18">
        <v>87</v>
      </c>
      <c r="I18">
        <v>75</v>
      </c>
      <c r="J18">
        <v>65</v>
      </c>
      <c r="K18">
        <f t="shared" si="0"/>
        <v>406</v>
      </c>
      <c r="L18">
        <f t="shared" si="1"/>
        <v>81.2</v>
      </c>
      <c r="M18">
        <f t="shared" si="2"/>
        <v>8.12</v>
      </c>
      <c r="N18" t="str">
        <f t="shared" si="3"/>
        <v>average</v>
      </c>
    </row>
    <row r="19" spans="1:14">
      <c r="A19">
        <v>18</v>
      </c>
      <c r="B19" t="s">
        <v>17</v>
      </c>
      <c r="C19" t="s">
        <v>14</v>
      </c>
      <c r="D19">
        <v>5</v>
      </c>
      <c r="E19">
        <v>82</v>
      </c>
      <c r="F19">
        <v>64</v>
      </c>
      <c r="G19">
        <v>59</v>
      </c>
      <c r="H19">
        <v>93</v>
      </c>
      <c r="I19">
        <v>70</v>
      </c>
      <c r="J19">
        <v>60</v>
      </c>
      <c r="K19">
        <f t="shared" si="0"/>
        <v>346</v>
      </c>
      <c r="L19">
        <f t="shared" si="1"/>
        <v>69.2</v>
      </c>
      <c r="M19">
        <f t="shared" si="2"/>
        <v>6.92</v>
      </c>
      <c r="N19" t="str">
        <f t="shared" si="3"/>
        <v>excellent</v>
      </c>
    </row>
    <row r="20" spans="1:14">
      <c r="A20">
        <v>19</v>
      </c>
      <c r="B20" t="s">
        <v>17</v>
      </c>
      <c r="C20" t="s">
        <v>5</v>
      </c>
      <c r="D20">
        <v>3</v>
      </c>
      <c r="E20">
        <v>77</v>
      </c>
      <c r="F20">
        <v>89</v>
      </c>
      <c r="G20">
        <v>59</v>
      </c>
      <c r="H20">
        <v>99</v>
      </c>
      <c r="I20">
        <v>84</v>
      </c>
      <c r="J20">
        <v>76</v>
      </c>
      <c r="K20">
        <f t="shared" si="0"/>
        <v>407</v>
      </c>
      <c r="L20">
        <f t="shared" si="1"/>
        <v>81.4</v>
      </c>
      <c r="M20">
        <f t="shared" si="2"/>
        <v>8.14</v>
      </c>
      <c r="N20" t="str">
        <f t="shared" si="3"/>
        <v>average</v>
      </c>
    </row>
    <row r="21" spans="1:14">
      <c r="A21">
        <v>20</v>
      </c>
      <c r="B21" t="s">
        <v>18</v>
      </c>
      <c r="C21" t="s">
        <v>5</v>
      </c>
      <c r="D21">
        <v>1</v>
      </c>
      <c r="E21">
        <v>90</v>
      </c>
      <c r="F21">
        <v>98</v>
      </c>
      <c r="G21">
        <v>100</v>
      </c>
      <c r="H21">
        <v>61</v>
      </c>
      <c r="I21">
        <v>59</v>
      </c>
      <c r="J21">
        <v>62</v>
      </c>
      <c r="K21">
        <f t="shared" si="0"/>
        <v>380</v>
      </c>
      <c r="L21">
        <f t="shared" si="1"/>
        <v>76</v>
      </c>
      <c r="M21">
        <f t="shared" si="2"/>
        <v>7.6</v>
      </c>
      <c r="N21" t="str">
        <f t="shared" si="3"/>
        <v>excellent</v>
      </c>
    </row>
    <row r="22" spans="1:14">
      <c r="A22">
        <v>21</v>
      </c>
      <c r="B22" t="s">
        <v>17</v>
      </c>
      <c r="C22" t="s">
        <v>4</v>
      </c>
      <c r="D22">
        <v>6</v>
      </c>
      <c r="E22">
        <v>66</v>
      </c>
      <c r="F22">
        <v>74</v>
      </c>
      <c r="G22">
        <v>73</v>
      </c>
      <c r="H22">
        <v>76</v>
      </c>
      <c r="I22">
        <v>76</v>
      </c>
      <c r="J22">
        <v>86</v>
      </c>
      <c r="K22">
        <f t="shared" si="0"/>
        <v>385</v>
      </c>
      <c r="L22">
        <f t="shared" si="1"/>
        <v>77</v>
      </c>
      <c r="M22">
        <f t="shared" si="2"/>
        <v>7.7</v>
      </c>
      <c r="N22" t="str">
        <f t="shared" si="3"/>
        <v>average</v>
      </c>
    </row>
    <row r="23" spans="1:14">
      <c r="A23">
        <v>22</v>
      </c>
      <c r="B23" t="s">
        <v>18</v>
      </c>
      <c r="C23" t="s">
        <v>3</v>
      </c>
      <c r="D23">
        <v>5</v>
      </c>
      <c r="E23">
        <v>75</v>
      </c>
      <c r="F23">
        <v>68</v>
      </c>
      <c r="G23">
        <v>56</v>
      </c>
      <c r="H23">
        <v>78</v>
      </c>
      <c r="I23">
        <v>100</v>
      </c>
      <c r="J23">
        <v>67</v>
      </c>
      <c r="K23">
        <f t="shared" si="0"/>
        <v>369</v>
      </c>
      <c r="L23">
        <f t="shared" si="1"/>
        <v>73.8</v>
      </c>
      <c r="M23">
        <f t="shared" si="2"/>
        <v>7.38</v>
      </c>
      <c r="N23" t="str">
        <f t="shared" si="3"/>
        <v>average</v>
      </c>
    </row>
    <row r="33" spans="12:12">
      <c r="L33" t="s">
        <v>38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Venna</cp:lastModifiedBy>
  <dcterms:created xsi:type="dcterms:W3CDTF">2026-01-26T22:39:00Z</dcterms:created>
  <dcterms:modified xsi:type="dcterms:W3CDTF">2026-01-27T18:05:18Z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041BD4873F4346C68DE2C36137D823D8_13</vt:lpwstr>
  </property>
  <property fmtid="{D5CDD505-2E9C-101B-9397-08002B2CF9AE}" pid="3" name="KSOProductBuildVer">
    <vt:lpwstr>2057-12.2.0.23197</vt:lpwstr>
  </property>
</Properties>
</file>